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CA4BB68A-2439-419F-A822-AB0E97B1B8E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prelim" sheetId="1" r:id="rId1"/>
    <sheet name="midterm" sheetId="2" r:id="rId2"/>
    <sheet name="semi-final" sheetId="3" r:id="rId3"/>
    <sheet name="finals" sheetId="4" r:id="rId4"/>
    <sheet name="Grade Sheet" sheetId="5" r:id="rId5"/>
  </sheets>
  <definedNames>
    <definedName name="_xlnm.Print_Area" localSheetId="4">'Grade Sheet'!$A$1:$T$59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1" l="1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R56" i="4"/>
  <c r="S56" i="4" s="1"/>
  <c r="P50" i="5" s="1"/>
  <c r="O56" i="4"/>
  <c r="P56" i="4" s="1"/>
  <c r="K56" i="4"/>
  <c r="B56" i="4"/>
  <c r="A56" i="4"/>
  <c r="R55" i="4"/>
  <c r="S55" i="4" s="1"/>
  <c r="P49" i="5" s="1"/>
  <c r="O55" i="4"/>
  <c r="P55" i="4" s="1"/>
  <c r="K55" i="4"/>
  <c r="B55" i="4"/>
  <c r="A55" i="4"/>
  <c r="R54" i="4"/>
  <c r="S54" i="4" s="1"/>
  <c r="P48" i="5" s="1"/>
  <c r="O54" i="4"/>
  <c r="P54" i="4" s="1"/>
  <c r="K54" i="4"/>
  <c r="B54" i="4"/>
  <c r="A54" i="4"/>
  <c r="R53" i="4"/>
  <c r="S53" i="4" s="1"/>
  <c r="P47" i="5" s="1"/>
  <c r="O53" i="4"/>
  <c r="P53" i="4" s="1"/>
  <c r="K53" i="4"/>
  <c r="B53" i="4"/>
  <c r="A53" i="4"/>
  <c r="R52" i="4"/>
  <c r="S52" i="4" s="1"/>
  <c r="P46" i="5" s="1"/>
  <c r="O52" i="4"/>
  <c r="P52" i="4" s="1"/>
  <c r="K52" i="4"/>
  <c r="B52" i="4"/>
  <c r="A52" i="4"/>
  <c r="R51" i="4"/>
  <c r="S51" i="4" s="1"/>
  <c r="P45" i="5" s="1"/>
  <c r="O51" i="4"/>
  <c r="P51" i="4" s="1"/>
  <c r="K51" i="4"/>
  <c r="B51" i="4"/>
  <c r="A51" i="4"/>
  <c r="R50" i="4"/>
  <c r="S50" i="4" s="1"/>
  <c r="P44" i="5" s="1"/>
  <c r="O50" i="4"/>
  <c r="P50" i="4" s="1"/>
  <c r="K50" i="4"/>
  <c r="B50" i="4"/>
  <c r="A50" i="4"/>
  <c r="R49" i="4"/>
  <c r="S49" i="4" s="1"/>
  <c r="P43" i="5" s="1"/>
  <c r="O49" i="4"/>
  <c r="P49" i="4" s="1"/>
  <c r="K49" i="4"/>
  <c r="B49" i="4"/>
  <c r="A49" i="4"/>
  <c r="R48" i="4"/>
  <c r="S48" i="4" s="1"/>
  <c r="P42" i="5" s="1"/>
  <c r="O48" i="4"/>
  <c r="P48" i="4" s="1"/>
  <c r="K48" i="4"/>
  <c r="B48" i="4"/>
  <c r="A48" i="4"/>
  <c r="R47" i="4"/>
  <c r="S47" i="4" s="1"/>
  <c r="P41" i="5" s="1"/>
  <c r="O47" i="4"/>
  <c r="P47" i="4" s="1"/>
  <c r="K47" i="4"/>
  <c r="B47" i="4"/>
  <c r="A47" i="4"/>
  <c r="R46" i="4"/>
  <c r="S46" i="4" s="1"/>
  <c r="P40" i="5" s="1"/>
  <c r="O46" i="4"/>
  <c r="P46" i="4" s="1"/>
  <c r="K46" i="4"/>
  <c r="B46" i="4"/>
  <c r="A46" i="4"/>
  <c r="R45" i="4"/>
  <c r="S45" i="4" s="1"/>
  <c r="P39" i="5" s="1"/>
  <c r="O45" i="4"/>
  <c r="P45" i="4" s="1"/>
  <c r="K45" i="4"/>
  <c r="B45" i="4"/>
  <c r="A45" i="4"/>
  <c r="R44" i="4"/>
  <c r="S44" i="4" s="1"/>
  <c r="P38" i="5" s="1"/>
  <c r="O44" i="4"/>
  <c r="P44" i="4" s="1"/>
  <c r="K44" i="4"/>
  <c r="B44" i="4"/>
  <c r="A44" i="4"/>
  <c r="R43" i="4"/>
  <c r="S43" i="4" s="1"/>
  <c r="P37" i="5" s="1"/>
  <c r="O43" i="4"/>
  <c r="P43" i="4" s="1"/>
  <c r="K43" i="4"/>
  <c r="B43" i="4"/>
  <c r="A43" i="4"/>
  <c r="R42" i="4"/>
  <c r="S42" i="4" s="1"/>
  <c r="P36" i="5" s="1"/>
  <c r="O42" i="4"/>
  <c r="P42" i="4" s="1"/>
  <c r="K42" i="4"/>
  <c r="B42" i="4"/>
  <c r="A42" i="4"/>
  <c r="R41" i="4"/>
  <c r="S41" i="4" s="1"/>
  <c r="P35" i="5" s="1"/>
  <c r="O41" i="4"/>
  <c r="P41" i="4" s="1"/>
  <c r="K41" i="4"/>
  <c r="B41" i="4"/>
  <c r="A41" i="4"/>
  <c r="R40" i="4"/>
  <c r="S40" i="4" s="1"/>
  <c r="P34" i="5" s="1"/>
  <c r="O40" i="4"/>
  <c r="P40" i="4" s="1"/>
  <c r="K40" i="4"/>
  <c r="B40" i="4"/>
  <c r="A40" i="4"/>
  <c r="R39" i="4"/>
  <c r="S39" i="4" s="1"/>
  <c r="P33" i="5" s="1"/>
  <c r="O39" i="4"/>
  <c r="P39" i="4" s="1"/>
  <c r="K39" i="4"/>
  <c r="B39" i="4"/>
  <c r="A39" i="4"/>
  <c r="R38" i="4"/>
  <c r="S38" i="4" s="1"/>
  <c r="P32" i="5" s="1"/>
  <c r="O38" i="4"/>
  <c r="P38" i="4" s="1"/>
  <c r="K38" i="4"/>
  <c r="B38" i="4"/>
  <c r="A38" i="4"/>
  <c r="R37" i="4"/>
  <c r="S37" i="4" s="1"/>
  <c r="P31" i="5" s="1"/>
  <c r="O37" i="4"/>
  <c r="P37" i="4" s="1"/>
  <c r="K37" i="4"/>
  <c r="B37" i="4"/>
  <c r="A37" i="4"/>
  <c r="R36" i="4"/>
  <c r="S36" i="4" s="1"/>
  <c r="P30" i="5" s="1"/>
  <c r="O36" i="4"/>
  <c r="P36" i="4" s="1"/>
  <c r="K36" i="4"/>
  <c r="B36" i="4"/>
  <c r="A36" i="4"/>
  <c r="R35" i="4"/>
  <c r="S35" i="4" s="1"/>
  <c r="P29" i="5" s="1"/>
  <c r="O35" i="4"/>
  <c r="P35" i="4" s="1"/>
  <c r="K35" i="4"/>
  <c r="B35" i="4"/>
  <c r="A35" i="4"/>
  <c r="R34" i="4"/>
  <c r="S34" i="4" s="1"/>
  <c r="P28" i="5" s="1"/>
  <c r="O34" i="4"/>
  <c r="P34" i="4" s="1"/>
  <c r="K34" i="4"/>
  <c r="B34" i="4"/>
  <c r="A34" i="4"/>
  <c r="R33" i="4"/>
  <c r="S33" i="4" s="1"/>
  <c r="P27" i="5" s="1"/>
  <c r="O33" i="4"/>
  <c r="P33" i="4" s="1"/>
  <c r="K33" i="4"/>
  <c r="B33" i="4"/>
  <c r="A33" i="4"/>
  <c r="R32" i="4"/>
  <c r="S32" i="4" s="1"/>
  <c r="P26" i="5" s="1"/>
  <c r="O32" i="4"/>
  <c r="P32" i="4" s="1"/>
  <c r="K32" i="4"/>
  <c r="B32" i="4"/>
  <c r="A32" i="4"/>
  <c r="R31" i="4"/>
  <c r="S31" i="4" s="1"/>
  <c r="P25" i="5" s="1"/>
  <c r="O31" i="4"/>
  <c r="P31" i="4" s="1"/>
  <c r="K31" i="4"/>
  <c r="B31" i="4"/>
  <c r="A31" i="4"/>
  <c r="R30" i="4"/>
  <c r="S30" i="4" s="1"/>
  <c r="P24" i="5" s="1"/>
  <c r="O30" i="4"/>
  <c r="P30" i="4" s="1"/>
  <c r="K30" i="4"/>
  <c r="B30" i="4"/>
  <c r="A30" i="4"/>
  <c r="R29" i="4"/>
  <c r="S29" i="4" s="1"/>
  <c r="P23" i="5" s="1"/>
  <c r="O29" i="4"/>
  <c r="P29" i="4" s="1"/>
  <c r="K29" i="4"/>
  <c r="B29" i="4"/>
  <c r="A29" i="4"/>
  <c r="R28" i="4"/>
  <c r="S28" i="4" s="1"/>
  <c r="P22" i="5" s="1"/>
  <c r="O28" i="4"/>
  <c r="P28" i="4" s="1"/>
  <c r="K28" i="4"/>
  <c r="B28" i="4"/>
  <c r="A28" i="4"/>
  <c r="R27" i="4"/>
  <c r="S27" i="4" s="1"/>
  <c r="P21" i="5" s="1"/>
  <c r="O27" i="4"/>
  <c r="P27" i="4" s="1"/>
  <c r="K27" i="4"/>
  <c r="B27" i="4"/>
  <c r="A27" i="4"/>
  <c r="R26" i="4"/>
  <c r="S26" i="4" s="1"/>
  <c r="P20" i="5" s="1"/>
  <c r="O26" i="4"/>
  <c r="P26" i="4" s="1"/>
  <c r="K26" i="4"/>
  <c r="B26" i="4"/>
  <c r="A26" i="4"/>
  <c r="R25" i="4"/>
  <c r="S25" i="4" s="1"/>
  <c r="P19" i="5" s="1"/>
  <c r="O25" i="4"/>
  <c r="P25" i="4" s="1"/>
  <c r="K25" i="4"/>
  <c r="B25" i="4"/>
  <c r="A25" i="4"/>
  <c r="R24" i="4"/>
  <c r="S24" i="4" s="1"/>
  <c r="P18" i="5" s="1"/>
  <c r="O24" i="4"/>
  <c r="P24" i="4" s="1"/>
  <c r="K24" i="4"/>
  <c r="B24" i="4"/>
  <c r="A24" i="4"/>
  <c r="R23" i="4"/>
  <c r="S23" i="4" s="1"/>
  <c r="P17" i="5" s="1"/>
  <c r="O23" i="4"/>
  <c r="P23" i="4" s="1"/>
  <c r="K23" i="4"/>
  <c r="B23" i="4"/>
  <c r="A23" i="4"/>
  <c r="R22" i="4"/>
  <c r="S22" i="4" s="1"/>
  <c r="P16" i="5" s="1"/>
  <c r="O22" i="4"/>
  <c r="P22" i="4" s="1"/>
  <c r="K22" i="4"/>
  <c r="B22" i="4"/>
  <c r="A22" i="4"/>
  <c r="R21" i="4"/>
  <c r="S21" i="4" s="1"/>
  <c r="P15" i="5" s="1"/>
  <c r="O21" i="4"/>
  <c r="P21" i="4" s="1"/>
  <c r="K21" i="4"/>
  <c r="B21" i="4"/>
  <c r="A21" i="4"/>
  <c r="R20" i="4"/>
  <c r="S20" i="4" s="1"/>
  <c r="P14" i="5" s="1"/>
  <c r="O20" i="4"/>
  <c r="P20" i="4" s="1"/>
  <c r="K20" i="4"/>
  <c r="B20" i="4"/>
  <c r="A20" i="4"/>
  <c r="R19" i="4"/>
  <c r="S19" i="4" s="1"/>
  <c r="P13" i="5" s="1"/>
  <c r="O19" i="4"/>
  <c r="P19" i="4" s="1"/>
  <c r="K19" i="4"/>
  <c r="B19" i="4"/>
  <c r="A19" i="4"/>
  <c r="R18" i="4"/>
  <c r="S18" i="4" s="1"/>
  <c r="P12" i="5" s="1"/>
  <c r="O18" i="4"/>
  <c r="P18" i="4" s="1"/>
  <c r="K18" i="4"/>
  <c r="B18" i="4"/>
  <c r="A18" i="4"/>
  <c r="R17" i="4"/>
  <c r="S17" i="4" s="1"/>
  <c r="P11" i="5" s="1"/>
  <c r="O17" i="4"/>
  <c r="P17" i="4" s="1"/>
  <c r="K17" i="4"/>
  <c r="B17" i="4"/>
  <c r="A17" i="4"/>
  <c r="K16" i="4"/>
  <c r="Q56" i="3"/>
  <c r="R56" i="3" s="1"/>
  <c r="L50" i="5" s="1"/>
  <c r="M56" i="3"/>
  <c r="B56" i="3"/>
  <c r="A56" i="3"/>
  <c r="Q55" i="3"/>
  <c r="R55" i="3" s="1"/>
  <c r="L49" i="5" s="1"/>
  <c r="M55" i="3"/>
  <c r="B55" i="3"/>
  <c r="A55" i="3"/>
  <c r="Q54" i="3"/>
  <c r="R54" i="3" s="1"/>
  <c r="L48" i="5" s="1"/>
  <c r="M54" i="3"/>
  <c r="B54" i="3"/>
  <c r="A54" i="3"/>
  <c r="Q53" i="3"/>
  <c r="R53" i="3" s="1"/>
  <c r="L47" i="5" s="1"/>
  <c r="M53" i="3"/>
  <c r="B53" i="3"/>
  <c r="A53" i="3"/>
  <c r="Q52" i="3"/>
  <c r="R52" i="3" s="1"/>
  <c r="L46" i="5" s="1"/>
  <c r="M52" i="3"/>
  <c r="B52" i="3"/>
  <c r="A52" i="3"/>
  <c r="Q51" i="3"/>
  <c r="R51" i="3" s="1"/>
  <c r="L45" i="5" s="1"/>
  <c r="M51" i="3"/>
  <c r="B51" i="3"/>
  <c r="A51" i="3"/>
  <c r="Q50" i="3"/>
  <c r="R50" i="3" s="1"/>
  <c r="L44" i="5" s="1"/>
  <c r="M50" i="3"/>
  <c r="B50" i="3"/>
  <c r="A50" i="3"/>
  <c r="Q49" i="3"/>
  <c r="R49" i="3" s="1"/>
  <c r="L43" i="5" s="1"/>
  <c r="M49" i="3"/>
  <c r="B49" i="3"/>
  <c r="A49" i="3"/>
  <c r="Q48" i="3"/>
  <c r="R48" i="3" s="1"/>
  <c r="L42" i="5" s="1"/>
  <c r="M48" i="3"/>
  <c r="N48" i="3" s="1"/>
  <c r="O48" i="3" s="1"/>
  <c r="B48" i="3"/>
  <c r="A48" i="3"/>
  <c r="Q47" i="3"/>
  <c r="R47" i="3" s="1"/>
  <c r="L41" i="5" s="1"/>
  <c r="M47" i="3"/>
  <c r="B47" i="3"/>
  <c r="A47" i="3"/>
  <c r="Q46" i="3"/>
  <c r="R46" i="3" s="1"/>
  <c r="L40" i="5" s="1"/>
  <c r="M46" i="3"/>
  <c r="B46" i="3"/>
  <c r="A46" i="3"/>
  <c r="Q45" i="3"/>
  <c r="R45" i="3" s="1"/>
  <c r="L39" i="5" s="1"/>
  <c r="M45" i="3"/>
  <c r="B45" i="3"/>
  <c r="A45" i="3"/>
  <c r="Q44" i="3"/>
  <c r="R44" i="3" s="1"/>
  <c r="L38" i="5" s="1"/>
  <c r="M44" i="3"/>
  <c r="N44" i="3" s="1"/>
  <c r="O44" i="3" s="1"/>
  <c r="B44" i="3"/>
  <c r="A44" i="3"/>
  <c r="Q43" i="3"/>
  <c r="R43" i="3" s="1"/>
  <c r="L37" i="5" s="1"/>
  <c r="M43" i="3"/>
  <c r="B43" i="3"/>
  <c r="A43" i="3"/>
  <c r="Q42" i="3"/>
  <c r="R42" i="3" s="1"/>
  <c r="L36" i="5" s="1"/>
  <c r="M42" i="3"/>
  <c r="B42" i="3"/>
  <c r="A42" i="3"/>
  <c r="Q41" i="3"/>
  <c r="R41" i="3" s="1"/>
  <c r="L35" i="5" s="1"/>
  <c r="M41" i="3"/>
  <c r="B41" i="3"/>
  <c r="A41" i="3"/>
  <c r="Q40" i="3"/>
  <c r="R40" i="3" s="1"/>
  <c r="L34" i="5" s="1"/>
  <c r="M40" i="3"/>
  <c r="N40" i="3" s="1"/>
  <c r="O40" i="3" s="1"/>
  <c r="B40" i="3"/>
  <c r="A40" i="3"/>
  <c r="Q39" i="3"/>
  <c r="R39" i="3" s="1"/>
  <c r="L33" i="5" s="1"/>
  <c r="M39" i="3"/>
  <c r="B39" i="3"/>
  <c r="A39" i="3"/>
  <c r="Q38" i="3"/>
  <c r="R38" i="3" s="1"/>
  <c r="L32" i="5" s="1"/>
  <c r="M38" i="3"/>
  <c r="B38" i="3"/>
  <c r="A38" i="3"/>
  <c r="Q37" i="3"/>
  <c r="R37" i="3" s="1"/>
  <c r="L31" i="5" s="1"/>
  <c r="M37" i="3"/>
  <c r="B37" i="3"/>
  <c r="A37" i="3"/>
  <c r="Q36" i="3"/>
  <c r="R36" i="3" s="1"/>
  <c r="L30" i="5" s="1"/>
  <c r="M36" i="3"/>
  <c r="N36" i="3" s="1"/>
  <c r="O36" i="3" s="1"/>
  <c r="B36" i="3"/>
  <c r="A36" i="3"/>
  <c r="Q35" i="3"/>
  <c r="R35" i="3" s="1"/>
  <c r="L29" i="5" s="1"/>
  <c r="M35" i="3"/>
  <c r="B35" i="3"/>
  <c r="A35" i="3"/>
  <c r="Q34" i="3"/>
  <c r="R34" i="3" s="1"/>
  <c r="L28" i="5" s="1"/>
  <c r="M34" i="3"/>
  <c r="B34" i="3"/>
  <c r="A34" i="3"/>
  <c r="Q33" i="3"/>
  <c r="R33" i="3" s="1"/>
  <c r="L27" i="5" s="1"/>
  <c r="M33" i="3"/>
  <c r="B33" i="3"/>
  <c r="A33" i="3"/>
  <c r="Q32" i="3"/>
  <c r="R32" i="3" s="1"/>
  <c r="L26" i="5" s="1"/>
  <c r="M32" i="3"/>
  <c r="N32" i="3" s="1"/>
  <c r="O32" i="3" s="1"/>
  <c r="B32" i="3"/>
  <c r="A32" i="3"/>
  <c r="Q31" i="3"/>
  <c r="R31" i="3" s="1"/>
  <c r="L25" i="5" s="1"/>
  <c r="M31" i="3"/>
  <c r="B31" i="3"/>
  <c r="A31" i="3"/>
  <c r="Q30" i="3"/>
  <c r="R30" i="3" s="1"/>
  <c r="L24" i="5" s="1"/>
  <c r="M30" i="3"/>
  <c r="B30" i="3"/>
  <c r="A30" i="3"/>
  <c r="Q29" i="3"/>
  <c r="R29" i="3" s="1"/>
  <c r="L23" i="5" s="1"/>
  <c r="M29" i="3"/>
  <c r="B29" i="3"/>
  <c r="A29" i="3"/>
  <c r="Q28" i="3"/>
  <c r="R28" i="3" s="1"/>
  <c r="L22" i="5" s="1"/>
  <c r="M28" i="3"/>
  <c r="N28" i="3" s="1"/>
  <c r="O28" i="3" s="1"/>
  <c r="B28" i="3"/>
  <c r="A28" i="3"/>
  <c r="Q27" i="3"/>
  <c r="R27" i="3" s="1"/>
  <c r="L21" i="5" s="1"/>
  <c r="M27" i="3"/>
  <c r="B27" i="3"/>
  <c r="A27" i="3"/>
  <c r="Q26" i="3"/>
  <c r="R26" i="3" s="1"/>
  <c r="L20" i="5" s="1"/>
  <c r="M26" i="3"/>
  <c r="B26" i="3"/>
  <c r="A26" i="3"/>
  <c r="Q25" i="3"/>
  <c r="R25" i="3" s="1"/>
  <c r="L19" i="5" s="1"/>
  <c r="M25" i="3"/>
  <c r="B25" i="3"/>
  <c r="A25" i="3"/>
  <c r="Q24" i="3"/>
  <c r="R24" i="3" s="1"/>
  <c r="L18" i="5" s="1"/>
  <c r="M24" i="3"/>
  <c r="N24" i="3" s="1"/>
  <c r="O24" i="3" s="1"/>
  <c r="B24" i="3"/>
  <c r="A24" i="3"/>
  <c r="Q23" i="3"/>
  <c r="R23" i="3" s="1"/>
  <c r="L17" i="5" s="1"/>
  <c r="M23" i="3"/>
  <c r="B23" i="3"/>
  <c r="A23" i="3"/>
  <c r="Q22" i="3"/>
  <c r="R22" i="3" s="1"/>
  <c r="L16" i="5" s="1"/>
  <c r="M22" i="3"/>
  <c r="B22" i="3"/>
  <c r="A22" i="3"/>
  <c r="Q21" i="3"/>
  <c r="R21" i="3" s="1"/>
  <c r="L15" i="5" s="1"/>
  <c r="M21" i="3"/>
  <c r="B21" i="3"/>
  <c r="A21" i="3"/>
  <c r="Q20" i="3"/>
  <c r="R20" i="3" s="1"/>
  <c r="L14" i="5" s="1"/>
  <c r="M20" i="3"/>
  <c r="N20" i="3" s="1"/>
  <c r="O20" i="3" s="1"/>
  <c r="B20" i="3"/>
  <c r="A20" i="3"/>
  <c r="Q19" i="3"/>
  <c r="R19" i="3" s="1"/>
  <c r="L13" i="5" s="1"/>
  <c r="M19" i="3"/>
  <c r="B19" i="3"/>
  <c r="A19" i="3"/>
  <c r="Q18" i="3"/>
  <c r="R18" i="3" s="1"/>
  <c r="L12" i="5" s="1"/>
  <c r="M18" i="3"/>
  <c r="B18" i="3"/>
  <c r="A18" i="3"/>
  <c r="Q17" i="3"/>
  <c r="R17" i="3" s="1"/>
  <c r="L11" i="5" s="1"/>
  <c r="M17" i="3"/>
  <c r="B17" i="3"/>
  <c r="A17" i="3"/>
  <c r="M16" i="3"/>
  <c r="Q56" i="2"/>
  <c r="R56" i="2" s="1"/>
  <c r="H50" i="5" s="1"/>
  <c r="M56" i="2"/>
  <c r="B56" i="2"/>
  <c r="A56" i="2"/>
  <c r="Q55" i="2"/>
  <c r="R55" i="2" s="1"/>
  <c r="H49" i="5" s="1"/>
  <c r="M55" i="2"/>
  <c r="B55" i="2"/>
  <c r="A55" i="2"/>
  <c r="Q54" i="2"/>
  <c r="R54" i="2" s="1"/>
  <c r="H48" i="5" s="1"/>
  <c r="M54" i="2"/>
  <c r="B54" i="2"/>
  <c r="A54" i="2"/>
  <c r="Q53" i="2"/>
  <c r="R53" i="2" s="1"/>
  <c r="H47" i="5" s="1"/>
  <c r="M53" i="2"/>
  <c r="B53" i="2"/>
  <c r="A53" i="2"/>
  <c r="Q52" i="2"/>
  <c r="R52" i="2" s="1"/>
  <c r="M52" i="2"/>
  <c r="B52" i="2"/>
  <c r="A52" i="2"/>
  <c r="Q51" i="2"/>
  <c r="R51" i="2" s="1"/>
  <c r="H45" i="5" s="1"/>
  <c r="M51" i="2"/>
  <c r="B51" i="2"/>
  <c r="A51" i="2"/>
  <c r="Q50" i="2"/>
  <c r="R50" i="2" s="1"/>
  <c r="H44" i="5" s="1"/>
  <c r="M50" i="2"/>
  <c r="B50" i="2"/>
  <c r="A50" i="2"/>
  <c r="Q49" i="2"/>
  <c r="R49" i="2" s="1"/>
  <c r="H43" i="5" s="1"/>
  <c r="M49" i="2"/>
  <c r="B49" i="2"/>
  <c r="A49" i="2"/>
  <c r="Q48" i="2"/>
  <c r="R48" i="2" s="1"/>
  <c r="H42" i="5" s="1"/>
  <c r="M48" i="2"/>
  <c r="B48" i="2"/>
  <c r="A48" i="2"/>
  <c r="Q47" i="2"/>
  <c r="R47" i="2" s="1"/>
  <c r="H41" i="5" s="1"/>
  <c r="M47" i="2"/>
  <c r="B47" i="2"/>
  <c r="A47" i="2"/>
  <c r="Q46" i="2"/>
  <c r="R46" i="2" s="1"/>
  <c r="H40" i="5" s="1"/>
  <c r="M46" i="2"/>
  <c r="B46" i="2"/>
  <c r="A46" i="2"/>
  <c r="Q45" i="2"/>
  <c r="R45" i="2" s="1"/>
  <c r="H39" i="5" s="1"/>
  <c r="M45" i="2"/>
  <c r="B45" i="2"/>
  <c r="A45" i="2"/>
  <c r="Q44" i="2"/>
  <c r="R44" i="2" s="1"/>
  <c r="H38" i="5" s="1"/>
  <c r="M44" i="2"/>
  <c r="B44" i="2"/>
  <c r="A44" i="2"/>
  <c r="Q43" i="2"/>
  <c r="R43" i="2" s="1"/>
  <c r="H37" i="5" s="1"/>
  <c r="M43" i="2"/>
  <c r="B43" i="2"/>
  <c r="A43" i="2"/>
  <c r="Q42" i="2"/>
  <c r="R42" i="2" s="1"/>
  <c r="H36" i="5" s="1"/>
  <c r="M42" i="2"/>
  <c r="B42" i="2"/>
  <c r="A42" i="2"/>
  <c r="Q41" i="2"/>
  <c r="R41" i="2" s="1"/>
  <c r="H35" i="5" s="1"/>
  <c r="M41" i="2"/>
  <c r="B41" i="2"/>
  <c r="A41" i="2"/>
  <c r="Q40" i="2"/>
  <c r="R40" i="2" s="1"/>
  <c r="H34" i="5" s="1"/>
  <c r="M40" i="2"/>
  <c r="B40" i="2"/>
  <c r="A40" i="2"/>
  <c r="Q39" i="2"/>
  <c r="R39" i="2" s="1"/>
  <c r="H33" i="5" s="1"/>
  <c r="M39" i="2"/>
  <c r="B39" i="2"/>
  <c r="A39" i="2"/>
  <c r="Q38" i="2"/>
  <c r="R38" i="2" s="1"/>
  <c r="H32" i="5" s="1"/>
  <c r="M38" i="2"/>
  <c r="B38" i="2"/>
  <c r="A38" i="2"/>
  <c r="Q37" i="2"/>
  <c r="R37" i="2" s="1"/>
  <c r="H31" i="5" s="1"/>
  <c r="M37" i="2"/>
  <c r="B37" i="2"/>
  <c r="A37" i="2"/>
  <c r="Q36" i="2"/>
  <c r="R36" i="2" s="1"/>
  <c r="H30" i="5" s="1"/>
  <c r="M36" i="2"/>
  <c r="B36" i="2"/>
  <c r="A36" i="2"/>
  <c r="Q35" i="2"/>
  <c r="R35" i="2" s="1"/>
  <c r="H29" i="5" s="1"/>
  <c r="M35" i="2"/>
  <c r="B35" i="2"/>
  <c r="A35" i="2"/>
  <c r="Q34" i="2"/>
  <c r="R34" i="2" s="1"/>
  <c r="H28" i="5" s="1"/>
  <c r="M34" i="2"/>
  <c r="B34" i="2"/>
  <c r="A34" i="2"/>
  <c r="Q33" i="2"/>
  <c r="R33" i="2" s="1"/>
  <c r="H27" i="5" s="1"/>
  <c r="M33" i="2"/>
  <c r="B33" i="2"/>
  <c r="A33" i="2"/>
  <c r="Q32" i="2"/>
  <c r="R32" i="2" s="1"/>
  <c r="H26" i="5" s="1"/>
  <c r="M32" i="2"/>
  <c r="B32" i="2"/>
  <c r="A32" i="2"/>
  <c r="Q31" i="2"/>
  <c r="R31" i="2" s="1"/>
  <c r="H25" i="5" s="1"/>
  <c r="M31" i="2"/>
  <c r="B31" i="2"/>
  <c r="A31" i="2"/>
  <c r="Q30" i="2"/>
  <c r="R30" i="2" s="1"/>
  <c r="H24" i="5" s="1"/>
  <c r="M30" i="2"/>
  <c r="B30" i="2"/>
  <c r="A30" i="2"/>
  <c r="Q29" i="2"/>
  <c r="R29" i="2" s="1"/>
  <c r="H23" i="5" s="1"/>
  <c r="M29" i="2"/>
  <c r="B29" i="2"/>
  <c r="A29" i="2"/>
  <c r="Q28" i="2"/>
  <c r="R28" i="2" s="1"/>
  <c r="H22" i="5" s="1"/>
  <c r="M28" i="2"/>
  <c r="B28" i="2"/>
  <c r="A28" i="2"/>
  <c r="Q27" i="2"/>
  <c r="R27" i="2" s="1"/>
  <c r="H21" i="5" s="1"/>
  <c r="M27" i="2"/>
  <c r="B27" i="2"/>
  <c r="A27" i="2"/>
  <c r="Q26" i="2"/>
  <c r="R26" i="2" s="1"/>
  <c r="H20" i="5" s="1"/>
  <c r="M26" i="2"/>
  <c r="B26" i="2"/>
  <c r="A26" i="2"/>
  <c r="Q25" i="2"/>
  <c r="R25" i="2" s="1"/>
  <c r="H19" i="5" s="1"/>
  <c r="M25" i="2"/>
  <c r="B25" i="2"/>
  <c r="A25" i="2"/>
  <c r="Q24" i="2"/>
  <c r="R24" i="2" s="1"/>
  <c r="H18" i="5" s="1"/>
  <c r="M24" i="2"/>
  <c r="B24" i="2"/>
  <c r="A24" i="2"/>
  <c r="Q23" i="2"/>
  <c r="R23" i="2" s="1"/>
  <c r="H17" i="5" s="1"/>
  <c r="M23" i="2"/>
  <c r="B23" i="2"/>
  <c r="A23" i="2"/>
  <c r="Q22" i="2"/>
  <c r="R22" i="2" s="1"/>
  <c r="H16" i="5" s="1"/>
  <c r="M22" i="2"/>
  <c r="B22" i="2"/>
  <c r="A22" i="2"/>
  <c r="Q21" i="2"/>
  <c r="R21" i="2" s="1"/>
  <c r="H15" i="5" s="1"/>
  <c r="M21" i="2"/>
  <c r="B21" i="2"/>
  <c r="A21" i="2"/>
  <c r="Q20" i="2"/>
  <c r="R20" i="2" s="1"/>
  <c r="H14" i="5" s="1"/>
  <c r="M20" i="2"/>
  <c r="B20" i="2"/>
  <c r="A20" i="2"/>
  <c r="Q19" i="2"/>
  <c r="R19" i="2" s="1"/>
  <c r="H13" i="5" s="1"/>
  <c r="M19" i="2"/>
  <c r="B19" i="2"/>
  <c r="A19" i="2"/>
  <c r="Q18" i="2"/>
  <c r="R18" i="2" s="1"/>
  <c r="H12" i="5" s="1"/>
  <c r="M18" i="2"/>
  <c r="B18" i="2"/>
  <c r="A18" i="2"/>
  <c r="Q17" i="2"/>
  <c r="R17" i="2" s="1"/>
  <c r="H11" i="5" s="1"/>
  <c r="M17" i="2"/>
  <c r="B17" i="2"/>
  <c r="A17" i="2"/>
  <c r="M16" i="2"/>
  <c r="Q56" i="1"/>
  <c r="R56" i="1" s="1"/>
  <c r="D50" i="5" s="1"/>
  <c r="M56" i="1"/>
  <c r="Q55" i="1"/>
  <c r="R55" i="1" s="1"/>
  <c r="D49" i="5" s="1"/>
  <c r="M55" i="1"/>
  <c r="Q54" i="1"/>
  <c r="R54" i="1" s="1"/>
  <c r="D48" i="5" s="1"/>
  <c r="M54" i="1"/>
  <c r="Q53" i="1"/>
  <c r="R53" i="1" s="1"/>
  <c r="D47" i="5" s="1"/>
  <c r="M53" i="1"/>
  <c r="Q52" i="1"/>
  <c r="R52" i="1" s="1"/>
  <c r="D46" i="5" s="1"/>
  <c r="M52" i="1"/>
  <c r="Q51" i="1"/>
  <c r="R51" i="1" s="1"/>
  <c r="D45" i="5" s="1"/>
  <c r="M51" i="1"/>
  <c r="Q50" i="1"/>
  <c r="R50" i="1" s="1"/>
  <c r="D44" i="5" s="1"/>
  <c r="M50" i="1"/>
  <c r="Q49" i="1"/>
  <c r="R49" i="1" s="1"/>
  <c r="D43" i="5" s="1"/>
  <c r="M49" i="1"/>
  <c r="Q48" i="1"/>
  <c r="R48" i="1" s="1"/>
  <c r="D42" i="5" s="1"/>
  <c r="M48" i="1"/>
  <c r="Q47" i="1"/>
  <c r="R47" i="1" s="1"/>
  <c r="D41" i="5" s="1"/>
  <c r="M47" i="1"/>
  <c r="Q46" i="1"/>
  <c r="R46" i="1" s="1"/>
  <c r="D40" i="5" s="1"/>
  <c r="M46" i="1"/>
  <c r="Q45" i="1"/>
  <c r="R45" i="1" s="1"/>
  <c r="D39" i="5" s="1"/>
  <c r="M45" i="1"/>
  <c r="Q44" i="1"/>
  <c r="R44" i="1" s="1"/>
  <c r="D38" i="5" s="1"/>
  <c r="M44" i="1"/>
  <c r="Q43" i="1"/>
  <c r="R43" i="1" s="1"/>
  <c r="D37" i="5" s="1"/>
  <c r="M43" i="1"/>
  <c r="Q42" i="1"/>
  <c r="R42" i="1" s="1"/>
  <c r="D36" i="5" s="1"/>
  <c r="M42" i="1"/>
  <c r="Q41" i="1"/>
  <c r="R41" i="1" s="1"/>
  <c r="D35" i="5" s="1"/>
  <c r="M41" i="1"/>
  <c r="Q40" i="1"/>
  <c r="R40" i="1" s="1"/>
  <c r="D34" i="5" s="1"/>
  <c r="M40" i="1"/>
  <c r="Q39" i="1"/>
  <c r="R39" i="1" s="1"/>
  <c r="D33" i="5" s="1"/>
  <c r="M39" i="1"/>
  <c r="Q38" i="1"/>
  <c r="R38" i="1" s="1"/>
  <c r="D32" i="5" s="1"/>
  <c r="M38" i="1"/>
  <c r="Q37" i="1"/>
  <c r="R37" i="1" s="1"/>
  <c r="D31" i="5" s="1"/>
  <c r="M37" i="1"/>
  <c r="Q36" i="1"/>
  <c r="R36" i="1" s="1"/>
  <c r="D30" i="5" s="1"/>
  <c r="M36" i="1"/>
  <c r="Q35" i="1"/>
  <c r="R35" i="1" s="1"/>
  <c r="D29" i="5" s="1"/>
  <c r="M35" i="1"/>
  <c r="Q34" i="1"/>
  <c r="R34" i="1" s="1"/>
  <c r="D28" i="5" s="1"/>
  <c r="M34" i="1"/>
  <c r="Q33" i="1"/>
  <c r="R33" i="1" s="1"/>
  <c r="D27" i="5" s="1"/>
  <c r="M33" i="1"/>
  <c r="Q32" i="1"/>
  <c r="R32" i="1" s="1"/>
  <c r="D26" i="5" s="1"/>
  <c r="M32" i="1"/>
  <c r="Q31" i="1"/>
  <c r="R31" i="1" s="1"/>
  <c r="D25" i="5" s="1"/>
  <c r="M31" i="1"/>
  <c r="Q30" i="1"/>
  <c r="R30" i="1" s="1"/>
  <c r="D24" i="5" s="1"/>
  <c r="M30" i="1"/>
  <c r="Q29" i="1"/>
  <c r="R29" i="1" s="1"/>
  <c r="D23" i="5" s="1"/>
  <c r="M29" i="1"/>
  <c r="Q28" i="1"/>
  <c r="R28" i="1" s="1"/>
  <c r="D22" i="5" s="1"/>
  <c r="M28" i="1"/>
  <c r="Q27" i="1"/>
  <c r="R27" i="1" s="1"/>
  <c r="D21" i="5" s="1"/>
  <c r="M27" i="1"/>
  <c r="Q26" i="1"/>
  <c r="R26" i="1" s="1"/>
  <c r="D20" i="5" s="1"/>
  <c r="M26" i="1"/>
  <c r="Q25" i="1"/>
  <c r="R25" i="1" s="1"/>
  <c r="D19" i="5" s="1"/>
  <c r="M25" i="1"/>
  <c r="Q24" i="1"/>
  <c r="R24" i="1" s="1"/>
  <c r="D18" i="5" s="1"/>
  <c r="M24" i="1"/>
  <c r="Q23" i="1"/>
  <c r="R23" i="1" s="1"/>
  <c r="D17" i="5" s="1"/>
  <c r="M23" i="1"/>
  <c r="Q22" i="1"/>
  <c r="R22" i="1" s="1"/>
  <c r="D16" i="5" s="1"/>
  <c r="M22" i="1"/>
  <c r="Q21" i="1"/>
  <c r="R21" i="1" s="1"/>
  <c r="D15" i="5" s="1"/>
  <c r="M21" i="1"/>
  <c r="Q20" i="1"/>
  <c r="R20" i="1" s="1"/>
  <c r="D14" i="5" s="1"/>
  <c r="M20" i="1"/>
  <c r="Q19" i="1"/>
  <c r="R19" i="1" s="1"/>
  <c r="D13" i="5" s="1"/>
  <c r="M19" i="1"/>
  <c r="Q18" i="1"/>
  <c r="R18" i="1" s="1"/>
  <c r="D12" i="5" s="1"/>
  <c r="M18" i="1"/>
  <c r="Q17" i="1"/>
  <c r="R17" i="1" s="1"/>
  <c r="D11" i="5" s="1"/>
  <c r="M17" i="1"/>
  <c r="M16" i="1"/>
  <c r="N52" i="3" l="1"/>
  <c r="O52" i="3" s="1"/>
  <c r="N32" i="1"/>
  <c r="O32" i="1" s="1"/>
  <c r="N30" i="1"/>
  <c r="O30" i="1" s="1"/>
  <c r="L20" i="4"/>
  <c r="M20" i="4" s="1"/>
  <c r="O14" i="5" s="1"/>
  <c r="Q14" i="5" s="1"/>
  <c r="R14" i="5" s="1"/>
  <c r="L27" i="4"/>
  <c r="M27" i="4" s="1"/>
  <c r="L35" i="4"/>
  <c r="M35" i="4" s="1"/>
  <c r="O29" i="5" s="1"/>
  <c r="Q29" i="5" s="1"/>
  <c r="R29" i="5" s="1"/>
  <c r="L39" i="4"/>
  <c r="M39" i="4" s="1"/>
  <c r="T39" i="4" s="1"/>
  <c r="U39" i="4" s="1"/>
  <c r="V39" i="4" s="1"/>
  <c r="L43" i="4"/>
  <c r="M43" i="4" s="1"/>
  <c r="T43" i="4" s="1"/>
  <c r="U43" i="4" s="1"/>
  <c r="V43" i="4" s="1"/>
  <c r="L47" i="4"/>
  <c r="M47" i="4" s="1"/>
  <c r="L51" i="4"/>
  <c r="M51" i="4" s="1"/>
  <c r="T51" i="4" s="1"/>
  <c r="U51" i="4" s="1"/>
  <c r="V51" i="4" s="1"/>
  <c r="L17" i="4"/>
  <c r="M17" i="4" s="1"/>
  <c r="O11" i="5" s="1"/>
  <c r="Q11" i="5" s="1"/>
  <c r="R11" i="5" s="1"/>
  <c r="L24" i="4"/>
  <c r="M24" i="4" s="1"/>
  <c r="O18" i="5" s="1"/>
  <c r="Q18" i="5" s="1"/>
  <c r="R18" i="5" s="1"/>
  <c r="L28" i="4"/>
  <c r="M28" i="4" s="1"/>
  <c r="L32" i="4"/>
  <c r="M32" i="4" s="1"/>
  <c r="T32" i="4" s="1"/>
  <c r="U32" i="4" s="1"/>
  <c r="V32" i="4" s="1"/>
  <c r="L36" i="4"/>
  <c r="M36" i="4" s="1"/>
  <c r="T36" i="4" s="1"/>
  <c r="U36" i="4" s="1"/>
  <c r="V36" i="4" s="1"/>
  <c r="L40" i="4"/>
  <c r="M40" i="4" s="1"/>
  <c r="O34" i="5" s="1"/>
  <c r="Q34" i="5" s="1"/>
  <c r="R34" i="5" s="1"/>
  <c r="L44" i="4"/>
  <c r="M44" i="4" s="1"/>
  <c r="O38" i="5" s="1"/>
  <c r="Q38" i="5" s="1"/>
  <c r="R38" i="5" s="1"/>
  <c r="L48" i="4"/>
  <c r="M48" i="4" s="1"/>
  <c r="T48" i="4" s="1"/>
  <c r="U48" i="4" s="1"/>
  <c r="V48" i="4" s="1"/>
  <c r="L52" i="4"/>
  <c r="M52" i="4" s="1"/>
  <c r="O46" i="5" s="1"/>
  <c r="Q46" i="5" s="1"/>
  <c r="R46" i="5" s="1"/>
  <c r="L56" i="4"/>
  <c r="M56" i="4" s="1"/>
  <c r="O50" i="5" s="1"/>
  <c r="Q50" i="5" s="1"/>
  <c r="R50" i="5" s="1"/>
  <c r="L18" i="4"/>
  <c r="M18" i="4" s="1"/>
  <c r="L21" i="4"/>
  <c r="M21" i="4" s="1"/>
  <c r="L25" i="4"/>
  <c r="M25" i="4" s="1"/>
  <c r="O19" i="5" s="1"/>
  <c r="Q19" i="5" s="1"/>
  <c r="R19" i="5" s="1"/>
  <c r="L29" i="4"/>
  <c r="M29" i="4" s="1"/>
  <c r="O23" i="5" s="1"/>
  <c r="Q23" i="5" s="1"/>
  <c r="R23" i="5" s="1"/>
  <c r="L33" i="4"/>
  <c r="M33" i="4" s="1"/>
  <c r="L37" i="4"/>
  <c r="M37" i="4" s="1"/>
  <c r="T37" i="4" s="1"/>
  <c r="U37" i="4" s="1"/>
  <c r="V37" i="4" s="1"/>
  <c r="L41" i="4"/>
  <c r="M41" i="4" s="1"/>
  <c r="O35" i="5" s="1"/>
  <c r="Q35" i="5" s="1"/>
  <c r="R35" i="5" s="1"/>
  <c r="L45" i="4"/>
  <c r="M45" i="4" s="1"/>
  <c r="T45" i="4" s="1"/>
  <c r="U45" i="4" s="1"/>
  <c r="V45" i="4" s="1"/>
  <c r="L49" i="4"/>
  <c r="M49" i="4" s="1"/>
  <c r="O43" i="5" s="1"/>
  <c r="Q43" i="5" s="1"/>
  <c r="R43" i="5" s="1"/>
  <c r="L53" i="4"/>
  <c r="M53" i="4" s="1"/>
  <c r="T53" i="4" s="1"/>
  <c r="U53" i="4" s="1"/>
  <c r="V53" i="4" s="1"/>
  <c r="L19" i="4"/>
  <c r="M19" i="4" s="1"/>
  <c r="O13" i="5" s="1"/>
  <c r="Q13" i="5" s="1"/>
  <c r="R13" i="5" s="1"/>
  <c r="L22" i="4"/>
  <c r="M22" i="4" s="1"/>
  <c r="O16" i="5" s="1"/>
  <c r="Q16" i="5" s="1"/>
  <c r="R16" i="5" s="1"/>
  <c r="L26" i="4"/>
  <c r="M26" i="4" s="1"/>
  <c r="L30" i="4"/>
  <c r="M30" i="4" s="1"/>
  <c r="T30" i="4" s="1"/>
  <c r="U30" i="4" s="1"/>
  <c r="V30" i="4" s="1"/>
  <c r="L34" i="4"/>
  <c r="M34" i="4" s="1"/>
  <c r="T34" i="4" s="1"/>
  <c r="U34" i="4" s="1"/>
  <c r="V34" i="4" s="1"/>
  <c r="L38" i="4"/>
  <c r="M38" i="4" s="1"/>
  <c r="T38" i="4" s="1"/>
  <c r="U38" i="4" s="1"/>
  <c r="V38" i="4" s="1"/>
  <c r="L42" i="4"/>
  <c r="M42" i="4" s="1"/>
  <c r="L46" i="4"/>
  <c r="M46" i="4" s="1"/>
  <c r="O40" i="5" s="1"/>
  <c r="Q40" i="5" s="1"/>
  <c r="R40" i="5" s="1"/>
  <c r="L50" i="4"/>
  <c r="M50" i="4" s="1"/>
  <c r="T50" i="4" s="1"/>
  <c r="U50" i="4" s="1"/>
  <c r="V50" i="4" s="1"/>
  <c r="L54" i="4"/>
  <c r="M54" i="4" s="1"/>
  <c r="T54" i="4" s="1"/>
  <c r="U54" i="4" s="1"/>
  <c r="V54" i="4" s="1"/>
  <c r="L23" i="4"/>
  <c r="M23" i="4" s="1"/>
  <c r="O17" i="5" s="1"/>
  <c r="Q17" i="5" s="1"/>
  <c r="R17" i="5" s="1"/>
  <c r="L31" i="4"/>
  <c r="M31" i="4" s="1"/>
  <c r="O25" i="5" s="1"/>
  <c r="Q25" i="5" s="1"/>
  <c r="R25" i="5" s="1"/>
  <c r="L55" i="4"/>
  <c r="M55" i="4" s="1"/>
  <c r="T55" i="4" s="1"/>
  <c r="U55" i="4" s="1"/>
  <c r="V55" i="4" s="1"/>
  <c r="N43" i="3"/>
  <c r="O43" i="3" s="1"/>
  <c r="K37" i="5" s="1"/>
  <c r="M37" i="5" s="1"/>
  <c r="N37" i="5" s="1"/>
  <c r="N50" i="1"/>
  <c r="O50" i="1" s="1"/>
  <c r="N57" i="1"/>
  <c r="O57" i="1" s="1"/>
  <c r="N49" i="1"/>
  <c r="O49" i="1" s="1"/>
  <c r="S49" i="1" s="1"/>
  <c r="T49" i="1" s="1"/>
  <c r="U49" i="1" s="1"/>
  <c r="N52" i="2"/>
  <c r="O52" i="2" s="1"/>
  <c r="N38" i="2"/>
  <c r="O38" i="2" s="1"/>
  <c r="G32" i="5" s="1"/>
  <c r="I32" i="5" s="1"/>
  <c r="J32" i="5" s="1"/>
  <c r="N34" i="2"/>
  <c r="O34" i="2" s="1"/>
  <c r="S34" i="2" s="1"/>
  <c r="T34" i="2" s="1"/>
  <c r="U34" i="2" s="1"/>
  <c r="N25" i="2"/>
  <c r="O25" i="2" s="1"/>
  <c r="S25" i="2" s="1"/>
  <c r="T25" i="2" s="1"/>
  <c r="U25" i="2" s="1"/>
  <c r="N18" i="2"/>
  <c r="O18" i="2" s="1"/>
  <c r="G12" i="5" s="1"/>
  <c r="I12" i="5" s="1"/>
  <c r="J12" i="5" s="1"/>
  <c r="N22" i="2"/>
  <c r="O22" i="2" s="1"/>
  <c r="S22" i="2" s="1"/>
  <c r="T22" i="2" s="1"/>
  <c r="U22" i="2" s="1"/>
  <c r="N54" i="2"/>
  <c r="O54" i="2" s="1"/>
  <c r="G48" i="5" s="1"/>
  <c r="I48" i="5" s="1"/>
  <c r="J48" i="5" s="1"/>
  <c r="N51" i="2"/>
  <c r="O51" i="2" s="1"/>
  <c r="G45" i="5" s="1"/>
  <c r="I45" i="5" s="1"/>
  <c r="J45" i="5" s="1"/>
  <c r="N48" i="2"/>
  <c r="O48" i="2" s="1"/>
  <c r="G42" i="5" s="1"/>
  <c r="I42" i="5" s="1"/>
  <c r="J42" i="5" s="1"/>
  <c r="N37" i="2"/>
  <c r="O37" i="2" s="1"/>
  <c r="S37" i="2" s="1"/>
  <c r="T37" i="2" s="1"/>
  <c r="U37" i="2" s="1"/>
  <c r="N45" i="2"/>
  <c r="O45" i="2" s="1"/>
  <c r="S45" i="2" s="1"/>
  <c r="T45" i="2" s="1"/>
  <c r="U45" i="2" s="1"/>
  <c r="N41" i="2"/>
  <c r="O41" i="2" s="1"/>
  <c r="G35" i="5" s="1"/>
  <c r="I35" i="5" s="1"/>
  <c r="J35" i="5" s="1"/>
  <c r="N35" i="2"/>
  <c r="O35" i="2" s="1"/>
  <c r="G29" i="5" s="1"/>
  <c r="I29" i="5" s="1"/>
  <c r="J29" i="5" s="1"/>
  <c r="N32" i="2"/>
  <c r="O32" i="2" s="1"/>
  <c r="S32" i="2" s="1"/>
  <c r="T32" i="2" s="1"/>
  <c r="U32" i="2" s="1"/>
  <c r="N21" i="2"/>
  <c r="O21" i="2" s="1"/>
  <c r="G15" i="5" s="1"/>
  <c r="I15" i="5" s="1"/>
  <c r="J15" i="5" s="1"/>
  <c r="N46" i="1"/>
  <c r="O46" i="1" s="1"/>
  <c r="C40" i="5" s="1"/>
  <c r="E40" i="5" s="1"/>
  <c r="F40" i="5" s="1"/>
  <c r="N36" i="1"/>
  <c r="O36" i="1" s="1"/>
  <c r="C30" i="5" s="1"/>
  <c r="E30" i="5" s="1"/>
  <c r="F30" i="5" s="1"/>
  <c r="N28" i="1"/>
  <c r="O28" i="1" s="1"/>
  <c r="S28" i="1" s="1"/>
  <c r="T28" i="1" s="1"/>
  <c r="U28" i="1" s="1"/>
  <c r="N48" i="1"/>
  <c r="O48" i="1" s="1"/>
  <c r="S48" i="1" s="1"/>
  <c r="T48" i="1" s="1"/>
  <c r="U48" i="1" s="1"/>
  <c r="N18" i="1"/>
  <c r="O18" i="1" s="1"/>
  <c r="C12" i="5" s="1"/>
  <c r="E12" i="5" s="1"/>
  <c r="F12" i="5" s="1"/>
  <c r="N42" i="1"/>
  <c r="O42" i="1" s="1"/>
  <c r="C36" i="5" s="1"/>
  <c r="E36" i="5" s="1"/>
  <c r="F36" i="5" s="1"/>
  <c r="N24" i="1"/>
  <c r="O24" i="1" s="1"/>
  <c r="S24" i="1" s="1"/>
  <c r="T24" i="1" s="1"/>
  <c r="U24" i="1" s="1"/>
  <c r="N56" i="1"/>
  <c r="O56" i="1" s="1"/>
  <c r="S56" i="1" s="1"/>
  <c r="T56" i="1" s="1"/>
  <c r="U56" i="1" s="1"/>
  <c r="N38" i="1"/>
  <c r="O38" i="1" s="1"/>
  <c r="C32" i="5" s="1"/>
  <c r="E32" i="5" s="1"/>
  <c r="F32" i="5" s="1"/>
  <c r="N20" i="1"/>
  <c r="O20" i="1" s="1"/>
  <c r="C14" i="5" s="1"/>
  <c r="E14" i="5" s="1"/>
  <c r="F14" i="5" s="1"/>
  <c r="N52" i="1"/>
  <c r="O52" i="1" s="1"/>
  <c r="S52" i="1" s="1"/>
  <c r="T52" i="1" s="1"/>
  <c r="U52" i="1" s="1"/>
  <c r="N34" i="1"/>
  <c r="O34" i="1" s="1"/>
  <c r="S34" i="1" s="1"/>
  <c r="T34" i="1" s="1"/>
  <c r="U34" i="1" s="1"/>
  <c r="N44" i="1"/>
  <c r="O44" i="1" s="1"/>
  <c r="S44" i="1" s="1"/>
  <c r="T44" i="1" s="1"/>
  <c r="U44" i="1" s="1"/>
  <c r="N26" i="1"/>
  <c r="O26" i="1" s="1"/>
  <c r="S26" i="1" s="1"/>
  <c r="T26" i="1" s="1"/>
  <c r="U26" i="1" s="1"/>
  <c r="N40" i="1"/>
  <c r="O40" i="1" s="1"/>
  <c r="S40" i="1" s="1"/>
  <c r="T40" i="1" s="1"/>
  <c r="U40" i="1" s="1"/>
  <c r="N22" i="1"/>
  <c r="O22" i="1" s="1"/>
  <c r="S22" i="1" s="1"/>
  <c r="T22" i="1" s="1"/>
  <c r="U22" i="1" s="1"/>
  <c r="N54" i="1"/>
  <c r="O54" i="1" s="1"/>
  <c r="C48" i="5" s="1"/>
  <c r="E48" i="5" s="1"/>
  <c r="F48" i="5" s="1"/>
  <c r="S20" i="3"/>
  <c r="T20" i="3" s="1"/>
  <c r="U20" i="3" s="1"/>
  <c r="K14" i="5"/>
  <c r="M14" i="5" s="1"/>
  <c r="N14" i="5" s="1"/>
  <c r="K42" i="5"/>
  <c r="M42" i="5" s="1"/>
  <c r="N42" i="5" s="1"/>
  <c r="S48" i="3"/>
  <c r="T48" i="3" s="1"/>
  <c r="U48" i="3" s="1"/>
  <c r="S36" i="3"/>
  <c r="T36" i="3" s="1"/>
  <c r="U36" i="3" s="1"/>
  <c r="K30" i="5"/>
  <c r="M30" i="5" s="1"/>
  <c r="N30" i="5" s="1"/>
  <c r="K18" i="5"/>
  <c r="M18" i="5" s="1"/>
  <c r="N18" i="5" s="1"/>
  <c r="S24" i="3"/>
  <c r="T24" i="3" s="1"/>
  <c r="U24" i="3" s="1"/>
  <c r="S52" i="3"/>
  <c r="T52" i="3" s="1"/>
  <c r="U52" i="3" s="1"/>
  <c r="K46" i="5"/>
  <c r="M46" i="5" s="1"/>
  <c r="N46" i="5" s="1"/>
  <c r="K34" i="5"/>
  <c r="M34" i="5" s="1"/>
  <c r="N34" i="5" s="1"/>
  <c r="S40" i="3"/>
  <c r="T40" i="3" s="1"/>
  <c r="U40" i="3" s="1"/>
  <c r="S28" i="3"/>
  <c r="T28" i="3" s="1"/>
  <c r="U28" i="3" s="1"/>
  <c r="K22" i="5"/>
  <c r="M22" i="5" s="1"/>
  <c r="N22" i="5" s="1"/>
  <c r="S44" i="3"/>
  <c r="T44" i="3" s="1"/>
  <c r="U44" i="3" s="1"/>
  <c r="K38" i="5"/>
  <c r="M38" i="5" s="1"/>
  <c r="N38" i="5" s="1"/>
  <c r="K26" i="5"/>
  <c r="M26" i="5" s="1"/>
  <c r="N26" i="5" s="1"/>
  <c r="S32" i="3"/>
  <c r="T32" i="3" s="1"/>
  <c r="U32" i="3" s="1"/>
  <c r="N56" i="3"/>
  <c r="O56" i="3" s="1"/>
  <c r="N21" i="3"/>
  <c r="O21" i="3" s="1"/>
  <c r="N29" i="3"/>
  <c r="O29" i="3" s="1"/>
  <c r="N37" i="3"/>
  <c r="O37" i="3" s="1"/>
  <c r="N45" i="3"/>
  <c r="O45" i="3" s="1"/>
  <c r="N53" i="3"/>
  <c r="O53" i="3" s="1"/>
  <c r="N18" i="3"/>
  <c r="O18" i="3" s="1"/>
  <c r="N26" i="3"/>
  <c r="O26" i="3" s="1"/>
  <c r="N34" i="3"/>
  <c r="O34" i="3" s="1"/>
  <c r="N42" i="3"/>
  <c r="O42" i="3" s="1"/>
  <c r="N50" i="3"/>
  <c r="O50" i="3" s="1"/>
  <c r="N23" i="3"/>
  <c r="O23" i="3" s="1"/>
  <c r="N31" i="3"/>
  <c r="O31" i="3" s="1"/>
  <c r="N47" i="3"/>
  <c r="O47" i="3" s="1"/>
  <c r="N39" i="3"/>
  <c r="O39" i="3" s="1"/>
  <c r="N55" i="3"/>
  <c r="O55" i="3" s="1"/>
  <c r="N25" i="3"/>
  <c r="O25" i="3" s="1"/>
  <c r="N33" i="3"/>
  <c r="O33" i="3" s="1"/>
  <c r="N49" i="3"/>
  <c r="O49" i="3" s="1"/>
  <c r="N17" i="3"/>
  <c r="O17" i="3" s="1"/>
  <c r="N41" i="3"/>
  <c r="O41" i="3" s="1"/>
  <c r="N22" i="3"/>
  <c r="O22" i="3" s="1"/>
  <c r="N30" i="3"/>
  <c r="O30" i="3" s="1"/>
  <c r="N38" i="3"/>
  <c r="O38" i="3" s="1"/>
  <c r="N46" i="3"/>
  <c r="O46" i="3" s="1"/>
  <c r="N54" i="3"/>
  <c r="O54" i="3" s="1"/>
  <c r="N35" i="3"/>
  <c r="O35" i="3" s="1"/>
  <c r="N51" i="3"/>
  <c r="O51" i="3" s="1"/>
  <c r="N19" i="3"/>
  <c r="O19" i="3" s="1"/>
  <c r="N27" i="3"/>
  <c r="O27" i="3" s="1"/>
  <c r="T20" i="4"/>
  <c r="U20" i="4" s="1"/>
  <c r="V20" i="4" s="1"/>
  <c r="N21" i="1"/>
  <c r="O21" i="1" s="1"/>
  <c r="N31" i="1"/>
  <c r="O31" i="1" s="1"/>
  <c r="N41" i="1"/>
  <c r="O41" i="1" s="1"/>
  <c r="N55" i="1"/>
  <c r="O55" i="1" s="1"/>
  <c r="N17" i="1"/>
  <c r="O17" i="1" s="1"/>
  <c r="N27" i="1"/>
  <c r="O27" i="1" s="1"/>
  <c r="N35" i="1"/>
  <c r="O35" i="1" s="1"/>
  <c r="N43" i="1"/>
  <c r="O43" i="1" s="1"/>
  <c r="N47" i="1"/>
  <c r="O47" i="1" s="1"/>
  <c r="N23" i="1"/>
  <c r="O23" i="1" s="1"/>
  <c r="N37" i="1"/>
  <c r="O37" i="1" s="1"/>
  <c r="N53" i="1"/>
  <c r="O53" i="1" s="1"/>
  <c r="N19" i="1"/>
  <c r="O19" i="1" s="1"/>
  <c r="N25" i="1"/>
  <c r="O25" i="1" s="1"/>
  <c r="N33" i="1"/>
  <c r="O33" i="1" s="1"/>
  <c r="N45" i="1"/>
  <c r="O45" i="1" s="1"/>
  <c r="N51" i="1"/>
  <c r="O51" i="1" s="1"/>
  <c r="N29" i="1"/>
  <c r="O29" i="1" s="1"/>
  <c r="N39" i="1"/>
  <c r="O39" i="1" s="1"/>
  <c r="N29" i="2"/>
  <c r="O29" i="2" s="1"/>
  <c r="S29" i="2" s="1"/>
  <c r="T29" i="2" s="1"/>
  <c r="U29" i="2" s="1"/>
  <c r="N19" i="2"/>
  <c r="O19" i="2" s="1"/>
  <c r="S19" i="2" s="1"/>
  <c r="T19" i="2" s="1"/>
  <c r="U19" i="2" s="1"/>
  <c r="N26" i="2"/>
  <c r="O26" i="2" s="1"/>
  <c r="G20" i="5" s="1"/>
  <c r="I20" i="5" s="1"/>
  <c r="J20" i="5" s="1"/>
  <c r="N42" i="2"/>
  <c r="O42" i="2" s="1"/>
  <c r="G36" i="5" s="1"/>
  <c r="I36" i="5" s="1"/>
  <c r="J36" i="5" s="1"/>
  <c r="N49" i="2"/>
  <c r="O49" i="2" s="1"/>
  <c r="G43" i="5" s="1"/>
  <c r="I43" i="5" s="1"/>
  <c r="J43" i="5" s="1"/>
  <c r="N33" i="2"/>
  <c r="O33" i="2" s="1"/>
  <c r="G27" i="5" s="1"/>
  <c r="I27" i="5" s="1"/>
  <c r="J27" i="5" s="1"/>
  <c r="N46" i="2"/>
  <c r="O46" i="2" s="1"/>
  <c r="G40" i="5" s="1"/>
  <c r="I40" i="5" s="1"/>
  <c r="J40" i="5" s="1"/>
  <c r="N56" i="2"/>
  <c r="O56" i="2" s="1"/>
  <c r="S56" i="2" s="1"/>
  <c r="T56" i="2" s="1"/>
  <c r="U56" i="2" s="1"/>
  <c r="N17" i="2"/>
  <c r="O17" i="2" s="1"/>
  <c r="S17" i="2" s="1"/>
  <c r="T17" i="2" s="1"/>
  <c r="U17" i="2" s="1"/>
  <c r="N30" i="2"/>
  <c r="O30" i="2" s="1"/>
  <c r="G24" i="5" s="1"/>
  <c r="I24" i="5" s="1"/>
  <c r="J24" i="5" s="1"/>
  <c r="N27" i="2"/>
  <c r="O27" i="2" s="1"/>
  <c r="G21" i="5" s="1"/>
  <c r="I21" i="5" s="1"/>
  <c r="J21" i="5" s="1"/>
  <c r="N43" i="2"/>
  <c r="O43" i="2" s="1"/>
  <c r="G37" i="5" s="1"/>
  <c r="I37" i="5" s="1"/>
  <c r="J37" i="5" s="1"/>
  <c r="N53" i="2"/>
  <c r="O53" i="2" s="1"/>
  <c r="S53" i="2" s="1"/>
  <c r="T53" i="2" s="1"/>
  <c r="U53" i="2" s="1"/>
  <c r="N24" i="2"/>
  <c r="O24" i="2" s="1"/>
  <c r="S24" i="2" s="1"/>
  <c r="T24" i="2" s="1"/>
  <c r="U24" i="2" s="1"/>
  <c r="N50" i="2"/>
  <c r="O50" i="2" s="1"/>
  <c r="G44" i="5" s="1"/>
  <c r="I44" i="5" s="1"/>
  <c r="J44" i="5" s="1"/>
  <c r="N40" i="2"/>
  <c r="O40" i="2" s="1"/>
  <c r="G34" i="5" s="1"/>
  <c r="I34" i="5" s="1"/>
  <c r="J34" i="5" s="1"/>
  <c r="H46" i="5"/>
  <c r="N23" i="2"/>
  <c r="O23" i="2" s="1"/>
  <c r="N39" i="2"/>
  <c r="O39" i="2" s="1"/>
  <c r="N47" i="2"/>
  <c r="O47" i="2" s="1"/>
  <c r="N55" i="2"/>
  <c r="O55" i="2" s="1"/>
  <c r="N20" i="2"/>
  <c r="O20" i="2" s="1"/>
  <c r="N28" i="2"/>
  <c r="O28" i="2" s="1"/>
  <c r="N36" i="2"/>
  <c r="O36" i="2" s="1"/>
  <c r="N44" i="2"/>
  <c r="O44" i="2" s="1"/>
  <c r="N31" i="2"/>
  <c r="O31" i="2" s="1"/>
  <c r="G46" i="5" l="1"/>
  <c r="S52" i="2"/>
  <c r="T52" i="2" s="1"/>
  <c r="U52" i="2" s="1"/>
  <c r="S32" i="1"/>
  <c r="T32" i="1" s="1"/>
  <c r="U32" i="1" s="1"/>
  <c r="C26" i="5"/>
  <c r="E26" i="5" s="1"/>
  <c r="F26" i="5" s="1"/>
  <c r="S30" i="1"/>
  <c r="T30" i="1" s="1"/>
  <c r="U30" i="1" s="1"/>
  <c r="C24" i="5"/>
  <c r="E24" i="5" s="1"/>
  <c r="F24" i="5" s="1"/>
  <c r="S50" i="1"/>
  <c r="T50" i="1" s="1"/>
  <c r="U50" i="1" s="1"/>
  <c r="C44" i="5"/>
  <c r="E44" i="5" s="1"/>
  <c r="F44" i="5" s="1"/>
  <c r="T27" i="4"/>
  <c r="U27" i="4" s="1"/>
  <c r="V27" i="4" s="1"/>
  <c r="O21" i="5"/>
  <c r="Q21" i="5" s="1"/>
  <c r="R21" i="5" s="1"/>
  <c r="O41" i="5"/>
  <c r="Q41" i="5" s="1"/>
  <c r="R41" i="5" s="1"/>
  <c r="T47" i="4"/>
  <c r="U47" i="4" s="1"/>
  <c r="V47" i="4" s="1"/>
  <c r="O22" i="5"/>
  <c r="Q22" i="5" s="1"/>
  <c r="R22" i="5" s="1"/>
  <c r="T28" i="4"/>
  <c r="U28" i="4" s="1"/>
  <c r="V28" i="4" s="1"/>
  <c r="O12" i="5"/>
  <c r="Q12" i="5" s="1"/>
  <c r="R12" i="5" s="1"/>
  <c r="T18" i="4"/>
  <c r="U18" i="4" s="1"/>
  <c r="V18" i="4" s="1"/>
  <c r="T21" i="4"/>
  <c r="U21" i="4" s="1"/>
  <c r="V21" i="4" s="1"/>
  <c r="O15" i="5"/>
  <c r="Q15" i="5" s="1"/>
  <c r="R15" i="5" s="1"/>
  <c r="O27" i="5"/>
  <c r="Q27" i="5" s="1"/>
  <c r="R27" i="5" s="1"/>
  <c r="T33" i="4"/>
  <c r="U33" i="4" s="1"/>
  <c r="V33" i="4" s="1"/>
  <c r="O20" i="5"/>
  <c r="Q20" i="5" s="1"/>
  <c r="R20" i="5" s="1"/>
  <c r="T26" i="4"/>
  <c r="U26" i="4" s="1"/>
  <c r="V26" i="4" s="1"/>
  <c r="T42" i="4"/>
  <c r="U42" i="4" s="1"/>
  <c r="V42" i="4" s="1"/>
  <c r="O36" i="5"/>
  <c r="Q36" i="5" s="1"/>
  <c r="R36" i="5" s="1"/>
  <c r="T44" i="4"/>
  <c r="U44" i="4" s="1"/>
  <c r="V44" i="4" s="1"/>
  <c r="O24" i="5"/>
  <c r="Q24" i="5" s="1"/>
  <c r="R24" i="5" s="1"/>
  <c r="O37" i="5"/>
  <c r="Q37" i="5" s="1"/>
  <c r="R37" i="5" s="1"/>
  <c r="O48" i="5"/>
  <c r="Q48" i="5" s="1"/>
  <c r="R48" i="5" s="1"/>
  <c r="O45" i="5"/>
  <c r="Q45" i="5" s="1"/>
  <c r="R45" i="5" s="1"/>
  <c r="O31" i="5"/>
  <c r="Q31" i="5" s="1"/>
  <c r="R31" i="5" s="1"/>
  <c r="O26" i="5"/>
  <c r="Q26" i="5" s="1"/>
  <c r="R26" i="5" s="1"/>
  <c r="T46" i="4"/>
  <c r="U46" i="4" s="1"/>
  <c r="V46" i="4" s="1"/>
  <c r="T19" i="4"/>
  <c r="U19" i="4" s="1"/>
  <c r="V19" i="4" s="1"/>
  <c r="T49" i="4"/>
  <c r="U49" i="4" s="1"/>
  <c r="V49" i="4" s="1"/>
  <c r="T23" i="4"/>
  <c r="U23" i="4" s="1"/>
  <c r="V23" i="4" s="1"/>
  <c r="O42" i="5"/>
  <c r="Q42" i="5" s="1"/>
  <c r="R42" i="5" s="1"/>
  <c r="T31" i="4"/>
  <c r="U31" i="4" s="1"/>
  <c r="V31" i="4" s="1"/>
  <c r="O44" i="5"/>
  <c r="Q44" i="5" s="1"/>
  <c r="R44" i="5" s="1"/>
  <c r="O33" i="5"/>
  <c r="Q33" i="5" s="1"/>
  <c r="R33" i="5" s="1"/>
  <c r="T52" i="4"/>
  <c r="U52" i="4" s="1"/>
  <c r="V52" i="4" s="1"/>
  <c r="T40" i="4"/>
  <c r="U40" i="4" s="1"/>
  <c r="V40" i="4" s="1"/>
  <c r="T29" i="4"/>
  <c r="U29" i="4" s="1"/>
  <c r="V29" i="4" s="1"/>
  <c r="O28" i="5"/>
  <c r="Q28" i="5" s="1"/>
  <c r="R28" i="5" s="1"/>
  <c r="T35" i="4"/>
  <c r="U35" i="4" s="1"/>
  <c r="V35" i="4" s="1"/>
  <c r="O32" i="5"/>
  <c r="Q32" i="5" s="1"/>
  <c r="R32" i="5" s="1"/>
  <c r="T25" i="4"/>
  <c r="U25" i="4" s="1"/>
  <c r="V25" i="4" s="1"/>
  <c r="O30" i="5"/>
  <c r="Q30" i="5" s="1"/>
  <c r="R30" i="5" s="1"/>
  <c r="T24" i="4"/>
  <c r="U24" i="4" s="1"/>
  <c r="V24" i="4" s="1"/>
  <c r="T41" i="4"/>
  <c r="U41" i="4" s="1"/>
  <c r="V41" i="4" s="1"/>
  <c r="O39" i="5"/>
  <c r="Q39" i="5" s="1"/>
  <c r="R39" i="5" s="1"/>
  <c r="T56" i="4"/>
  <c r="U56" i="4" s="1"/>
  <c r="V56" i="4" s="1"/>
  <c r="T17" i="4"/>
  <c r="U17" i="4" s="1"/>
  <c r="V17" i="4" s="1"/>
  <c r="T22" i="4"/>
  <c r="U22" i="4" s="1"/>
  <c r="V22" i="4" s="1"/>
  <c r="O47" i="5"/>
  <c r="Q47" i="5" s="1"/>
  <c r="R47" i="5" s="1"/>
  <c r="O49" i="5"/>
  <c r="Q49" i="5" s="1"/>
  <c r="R49" i="5" s="1"/>
  <c r="S43" i="3"/>
  <c r="T43" i="3" s="1"/>
  <c r="U43" i="3" s="1"/>
  <c r="C43" i="5"/>
  <c r="E43" i="5" s="1"/>
  <c r="F43" i="5" s="1"/>
  <c r="S36" i="1"/>
  <c r="T36" i="1" s="1"/>
  <c r="U36" i="1" s="1"/>
  <c r="G28" i="5"/>
  <c r="I28" i="5" s="1"/>
  <c r="J28" i="5" s="1"/>
  <c r="G19" i="5"/>
  <c r="I19" i="5" s="1"/>
  <c r="J19" i="5" s="1"/>
  <c r="I46" i="5"/>
  <c r="J46" i="5" s="1"/>
  <c r="C50" i="5"/>
  <c r="E50" i="5" s="1"/>
  <c r="F50" i="5" s="1"/>
  <c r="G50" i="5"/>
  <c r="I50" i="5" s="1"/>
  <c r="J50" i="5" s="1"/>
  <c r="S48" i="2"/>
  <c r="T48" i="2" s="1"/>
  <c r="U48" i="2" s="1"/>
  <c r="G39" i="5"/>
  <c r="I39" i="5" s="1"/>
  <c r="J39" i="5" s="1"/>
  <c r="S43" i="2"/>
  <c r="T43" i="2" s="1"/>
  <c r="U43" i="2" s="1"/>
  <c r="G31" i="5"/>
  <c r="I31" i="5" s="1"/>
  <c r="J31" i="5" s="1"/>
  <c r="S35" i="2"/>
  <c r="T35" i="2" s="1"/>
  <c r="U35" i="2" s="1"/>
  <c r="S33" i="2"/>
  <c r="T33" i="2" s="1"/>
  <c r="U33" i="2" s="1"/>
  <c r="S26" i="2"/>
  <c r="T26" i="2" s="1"/>
  <c r="U26" i="2" s="1"/>
  <c r="G16" i="5"/>
  <c r="I16" i="5" s="1"/>
  <c r="J16" i="5" s="1"/>
  <c r="S38" i="2"/>
  <c r="T38" i="2" s="1"/>
  <c r="U38" i="2" s="1"/>
  <c r="S46" i="2"/>
  <c r="T46" i="2" s="1"/>
  <c r="U46" i="2" s="1"/>
  <c r="C42" i="5"/>
  <c r="E42" i="5" s="1"/>
  <c r="F42" i="5" s="1"/>
  <c r="S46" i="1"/>
  <c r="T46" i="1" s="1"/>
  <c r="U46" i="1" s="1"/>
  <c r="C34" i="5"/>
  <c r="E34" i="5" s="1"/>
  <c r="F34" i="5" s="1"/>
  <c r="S34" i="5" s="1"/>
  <c r="T34" i="5" s="1"/>
  <c r="S38" i="1"/>
  <c r="T38" i="1" s="1"/>
  <c r="U38" i="1" s="1"/>
  <c r="C22" i="5"/>
  <c r="E22" i="5" s="1"/>
  <c r="F22" i="5" s="1"/>
  <c r="C18" i="5"/>
  <c r="E18" i="5" s="1"/>
  <c r="F18" i="5" s="1"/>
  <c r="C16" i="5"/>
  <c r="E16" i="5" s="1"/>
  <c r="F16" i="5" s="1"/>
  <c r="S18" i="1"/>
  <c r="T18" i="1" s="1"/>
  <c r="U18" i="1" s="1"/>
  <c r="G23" i="5"/>
  <c r="I23" i="5" s="1"/>
  <c r="J23" i="5" s="1"/>
  <c r="S54" i="2"/>
  <c r="T54" i="2" s="1"/>
  <c r="U54" i="2" s="1"/>
  <c r="S51" i="2"/>
  <c r="T51" i="2" s="1"/>
  <c r="U51" i="2" s="1"/>
  <c r="S27" i="2"/>
  <c r="T27" i="2" s="1"/>
  <c r="U27" i="2" s="1"/>
  <c r="S49" i="2"/>
  <c r="T49" i="2" s="1"/>
  <c r="U49" i="2" s="1"/>
  <c r="G13" i="5"/>
  <c r="I13" i="5" s="1"/>
  <c r="J13" i="5" s="1"/>
  <c r="S42" i="2"/>
  <c r="T42" i="2" s="1"/>
  <c r="U42" i="2" s="1"/>
  <c r="S50" i="2"/>
  <c r="T50" i="2" s="1"/>
  <c r="U50" i="2" s="1"/>
  <c r="G26" i="5"/>
  <c r="I26" i="5" s="1"/>
  <c r="J26" i="5" s="1"/>
  <c r="S41" i="2"/>
  <c r="T41" i="2" s="1"/>
  <c r="U41" i="2" s="1"/>
  <c r="S30" i="2"/>
  <c r="T30" i="2" s="1"/>
  <c r="U30" i="2" s="1"/>
  <c r="S21" i="2"/>
  <c r="T21" i="2" s="1"/>
  <c r="U21" i="2" s="1"/>
  <c r="S18" i="2"/>
  <c r="T18" i="2" s="1"/>
  <c r="U18" i="2" s="1"/>
  <c r="C20" i="5"/>
  <c r="E20" i="5" s="1"/>
  <c r="F20" i="5" s="1"/>
  <c r="C38" i="5"/>
  <c r="E38" i="5" s="1"/>
  <c r="F38" i="5" s="1"/>
  <c r="C28" i="5"/>
  <c r="E28" i="5" s="1"/>
  <c r="F28" i="5" s="1"/>
  <c r="C46" i="5"/>
  <c r="E46" i="5" s="1"/>
  <c r="F46" i="5" s="1"/>
  <c r="S42" i="1"/>
  <c r="T42" i="1" s="1"/>
  <c r="U42" i="1" s="1"/>
  <c r="S54" i="1"/>
  <c r="T54" i="1" s="1"/>
  <c r="U54" i="1" s="1"/>
  <c r="S20" i="1"/>
  <c r="T20" i="1" s="1"/>
  <c r="U20" i="1" s="1"/>
  <c r="K29" i="5"/>
  <c r="M29" i="5" s="1"/>
  <c r="N29" i="5" s="1"/>
  <c r="S35" i="3"/>
  <c r="T35" i="3" s="1"/>
  <c r="U35" i="3" s="1"/>
  <c r="S23" i="3"/>
  <c r="T23" i="3" s="1"/>
  <c r="U23" i="3" s="1"/>
  <c r="K17" i="5"/>
  <c r="M17" i="5" s="1"/>
  <c r="N17" i="5" s="1"/>
  <c r="S45" i="3"/>
  <c r="T45" i="3" s="1"/>
  <c r="U45" i="3" s="1"/>
  <c r="K39" i="5"/>
  <c r="M39" i="5" s="1"/>
  <c r="N39" i="5" s="1"/>
  <c r="K44" i="5"/>
  <c r="M44" i="5" s="1"/>
  <c r="N44" i="5" s="1"/>
  <c r="S50" i="3"/>
  <c r="T50" i="3" s="1"/>
  <c r="U50" i="3" s="1"/>
  <c r="K32" i="5"/>
  <c r="M32" i="5" s="1"/>
  <c r="N32" i="5" s="1"/>
  <c r="S38" i="3"/>
  <c r="T38" i="3" s="1"/>
  <c r="U38" i="3" s="1"/>
  <c r="S17" i="3"/>
  <c r="T17" i="3" s="1"/>
  <c r="U17" i="3" s="1"/>
  <c r="K11" i="5"/>
  <c r="M11" i="5" s="1"/>
  <c r="N11" i="5" s="1"/>
  <c r="S37" i="3"/>
  <c r="T37" i="3" s="1"/>
  <c r="U37" i="3" s="1"/>
  <c r="K31" i="5"/>
  <c r="M31" i="5" s="1"/>
  <c r="N31" i="5" s="1"/>
  <c r="K28" i="5"/>
  <c r="M28" i="5" s="1"/>
  <c r="N28" i="5" s="1"/>
  <c r="S34" i="3"/>
  <c r="T34" i="3" s="1"/>
  <c r="U34" i="3" s="1"/>
  <c r="K24" i="5"/>
  <c r="M24" i="5" s="1"/>
  <c r="N24" i="5" s="1"/>
  <c r="S30" i="3"/>
  <c r="T30" i="3" s="1"/>
  <c r="U30" i="3" s="1"/>
  <c r="S41" i="3"/>
  <c r="T41" i="3" s="1"/>
  <c r="U41" i="3" s="1"/>
  <c r="K35" i="5"/>
  <c r="M35" i="5" s="1"/>
  <c r="N35" i="5" s="1"/>
  <c r="S49" i="3"/>
  <c r="T49" i="3" s="1"/>
  <c r="U49" i="3" s="1"/>
  <c r="K43" i="5"/>
  <c r="M43" i="5" s="1"/>
  <c r="N43" i="5" s="1"/>
  <c r="S29" i="3"/>
  <c r="T29" i="3" s="1"/>
  <c r="U29" i="3" s="1"/>
  <c r="K23" i="5"/>
  <c r="M23" i="5" s="1"/>
  <c r="N23" i="5" s="1"/>
  <c r="K36" i="5"/>
  <c r="M36" i="5" s="1"/>
  <c r="N36" i="5" s="1"/>
  <c r="S42" i="3"/>
  <c r="T42" i="3" s="1"/>
  <c r="U42" i="3" s="1"/>
  <c r="K12" i="5"/>
  <c r="M12" i="5" s="1"/>
  <c r="N12" i="5" s="1"/>
  <c r="S18" i="3"/>
  <c r="T18" i="3" s="1"/>
  <c r="U18" i="3" s="1"/>
  <c r="S21" i="3"/>
  <c r="T21" i="3" s="1"/>
  <c r="U21" i="3" s="1"/>
  <c r="K15" i="5"/>
  <c r="M15" i="5" s="1"/>
  <c r="N15" i="5" s="1"/>
  <c r="K45" i="5"/>
  <c r="M45" i="5" s="1"/>
  <c r="N45" i="5" s="1"/>
  <c r="S51" i="3"/>
  <c r="T51" i="3" s="1"/>
  <c r="U51" i="3" s="1"/>
  <c r="K16" i="5"/>
  <c r="M16" i="5" s="1"/>
  <c r="N16" i="5" s="1"/>
  <c r="S22" i="3"/>
  <c r="T22" i="3" s="1"/>
  <c r="U22" i="3" s="1"/>
  <c r="S33" i="3"/>
  <c r="T33" i="3" s="1"/>
  <c r="U33" i="3" s="1"/>
  <c r="K27" i="5"/>
  <c r="M27" i="5" s="1"/>
  <c r="N27" i="5" s="1"/>
  <c r="S25" i="3"/>
  <c r="T25" i="3" s="1"/>
  <c r="U25" i="3" s="1"/>
  <c r="K19" i="5"/>
  <c r="M19" i="5" s="1"/>
  <c r="N19" i="5" s="1"/>
  <c r="K50" i="5"/>
  <c r="M50" i="5" s="1"/>
  <c r="N50" i="5" s="1"/>
  <c r="S56" i="3"/>
  <c r="T56" i="3" s="1"/>
  <c r="U56" i="3" s="1"/>
  <c r="K48" i="5"/>
  <c r="M48" i="5" s="1"/>
  <c r="N48" i="5" s="1"/>
  <c r="S54" i="3"/>
  <c r="T54" i="3" s="1"/>
  <c r="U54" i="3" s="1"/>
  <c r="S53" i="3"/>
  <c r="T53" i="3" s="1"/>
  <c r="U53" i="3" s="1"/>
  <c r="K47" i="5"/>
  <c r="M47" i="5" s="1"/>
  <c r="N47" i="5" s="1"/>
  <c r="S55" i="3"/>
  <c r="T55" i="3" s="1"/>
  <c r="U55" i="3" s="1"/>
  <c r="K49" i="5"/>
  <c r="M49" i="5" s="1"/>
  <c r="N49" i="5" s="1"/>
  <c r="S39" i="3"/>
  <c r="T39" i="3" s="1"/>
  <c r="U39" i="3" s="1"/>
  <c r="K33" i="5"/>
  <c r="M33" i="5" s="1"/>
  <c r="N33" i="5" s="1"/>
  <c r="K20" i="5"/>
  <c r="M20" i="5" s="1"/>
  <c r="N20" i="5" s="1"/>
  <c r="S26" i="3"/>
  <c r="T26" i="3" s="1"/>
  <c r="U26" i="3" s="1"/>
  <c r="K21" i="5"/>
  <c r="M21" i="5" s="1"/>
  <c r="N21" i="5" s="1"/>
  <c r="S27" i="3"/>
  <c r="T27" i="3" s="1"/>
  <c r="U27" i="3" s="1"/>
  <c r="S47" i="3"/>
  <c r="T47" i="3" s="1"/>
  <c r="U47" i="3" s="1"/>
  <c r="K41" i="5"/>
  <c r="M41" i="5" s="1"/>
  <c r="N41" i="5" s="1"/>
  <c r="K40" i="5"/>
  <c r="M40" i="5" s="1"/>
  <c r="N40" i="5" s="1"/>
  <c r="S40" i="5" s="1"/>
  <c r="T40" i="5" s="1"/>
  <c r="S46" i="3"/>
  <c r="T46" i="3" s="1"/>
  <c r="U46" i="3" s="1"/>
  <c r="K13" i="5"/>
  <c r="M13" i="5" s="1"/>
  <c r="N13" i="5" s="1"/>
  <c r="S19" i="3"/>
  <c r="T19" i="3" s="1"/>
  <c r="U19" i="3" s="1"/>
  <c r="S31" i="3"/>
  <c r="T31" i="3" s="1"/>
  <c r="U31" i="3" s="1"/>
  <c r="K25" i="5"/>
  <c r="M25" i="5" s="1"/>
  <c r="N25" i="5" s="1"/>
  <c r="S41" i="1"/>
  <c r="T41" i="1" s="1"/>
  <c r="U41" i="1" s="1"/>
  <c r="C35" i="5"/>
  <c r="E35" i="5" s="1"/>
  <c r="F35" i="5" s="1"/>
  <c r="S21" i="1"/>
  <c r="T21" i="1" s="1"/>
  <c r="U21" i="1" s="1"/>
  <c r="C15" i="5"/>
  <c r="E15" i="5" s="1"/>
  <c r="F15" i="5" s="1"/>
  <c r="S31" i="1"/>
  <c r="T31" i="1" s="1"/>
  <c r="U31" i="1" s="1"/>
  <c r="C25" i="5"/>
  <c r="E25" i="5" s="1"/>
  <c r="F25" i="5" s="1"/>
  <c r="S39" i="1"/>
  <c r="T39" i="1" s="1"/>
  <c r="U39" i="1" s="1"/>
  <c r="C33" i="5"/>
  <c r="E33" i="5" s="1"/>
  <c r="F33" i="5" s="1"/>
  <c r="S45" i="1"/>
  <c r="T45" i="1" s="1"/>
  <c r="U45" i="1" s="1"/>
  <c r="C39" i="5"/>
  <c r="E39" i="5" s="1"/>
  <c r="F39" i="5" s="1"/>
  <c r="S33" i="1"/>
  <c r="T33" i="1" s="1"/>
  <c r="U33" i="1" s="1"/>
  <c r="C27" i="5"/>
  <c r="E27" i="5" s="1"/>
  <c r="F27" i="5" s="1"/>
  <c r="S25" i="1"/>
  <c r="T25" i="1" s="1"/>
  <c r="U25" i="1" s="1"/>
  <c r="C19" i="5"/>
  <c r="E19" i="5" s="1"/>
  <c r="F19" i="5" s="1"/>
  <c r="S29" i="1"/>
  <c r="T29" i="1" s="1"/>
  <c r="U29" i="1" s="1"/>
  <c r="C23" i="5"/>
  <c r="E23" i="5" s="1"/>
  <c r="F23" i="5" s="1"/>
  <c r="S55" i="1"/>
  <c r="T55" i="1" s="1"/>
  <c r="U55" i="1" s="1"/>
  <c r="C49" i="5"/>
  <c r="E49" i="5" s="1"/>
  <c r="F49" i="5" s="1"/>
  <c r="S53" i="1"/>
  <c r="T53" i="1" s="1"/>
  <c r="U53" i="1" s="1"/>
  <c r="C47" i="5"/>
  <c r="E47" i="5" s="1"/>
  <c r="F47" i="5" s="1"/>
  <c r="C21" i="5"/>
  <c r="E21" i="5" s="1"/>
  <c r="F21" i="5" s="1"/>
  <c r="S27" i="1"/>
  <c r="T27" i="1" s="1"/>
  <c r="U27" i="1" s="1"/>
  <c r="C13" i="5"/>
  <c r="E13" i="5" s="1"/>
  <c r="F13" i="5" s="1"/>
  <c r="S19" i="1"/>
  <c r="T19" i="1" s="1"/>
  <c r="U19" i="1" s="1"/>
  <c r="S37" i="1"/>
  <c r="T37" i="1" s="1"/>
  <c r="U37" i="1" s="1"/>
  <c r="C31" i="5"/>
  <c r="E31" i="5" s="1"/>
  <c r="F31" i="5" s="1"/>
  <c r="S23" i="1"/>
  <c r="T23" i="1" s="1"/>
  <c r="U23" i="1" s="1"/>
  <c r="C17" i="5"/>
  <c r="E17" i="5" s="1"/>
  <c r="F17" i="5" s="1"/>
  <c r="S47" i="1"/>
  <c r="T47" i="1" s="1"/>
  <c r="U47" i="1" s="1"/>
  <c r="C41" i="5"/>
  <c r="E41" i="5" s="1"/>
  <c r="F41" i="5" s="1"/>
  <c r="S17" i="1"/>
  <c r="T17" i="1" s="1"/>
  <c r="U17" i="1" s="1"/>
  <c r="C11" i="5"/>
  <c r="E11" i="5" s="1"/>
  <c r="F11" i="5" s="1"/>
  <c r="C37" i="5"/>
  <c r="E37" i="5" s="1"/>
  <c r="F37" i="5" s="1"/>
  <c r="S43" i="1"/>
  <c r="T43" i="1" s="1"/>
  <c r="U43" i="1" s="1"/>
  <c r="C45" i="5"/>
  <c r="E45" i="5" s="1"/>
  <c r="F45" i="5" s="1"/>
  <c r="S51" i="1"/>
  <c r="T51" i="1" s="1"/>
  <c r="U51" i="1" s="1"/>
  <c r="C29" i="5"/>
  <c r="E29" i="5" s="1"/>
  <c r="F29" i="5" s="1"/>
  <c r="S35" i="1"/>
  <c r="T35" i="1" s="1"/>
  <c r="U35" i="1" s="1"/>
  <c r="G11" i="5"/>
  <c r="I11" i="5" s="1"/>
  <c r="J11" i="5" s="1"/>
  <c r="G18" i="5"/>
  <c r="I18" i="5" s="1"/>
  <c r="J18" i="5" s="1"/>
  <c r="S40" i="2"/>
  <c r="T40" i="2" s="1"/>
  <c r="U40" i="2" s="1"/>
  <c r="G47" i="5"/>
  <c r="I47" i="5" s="1"/>
  <c r="J47" i="5" s="1"/>
  <c r="G38" i="5"/>
  <c r="I38" i="5" s="1"/>
  <c r="J38" i="5" s="1"/>
  <c r="S44" i="2"/>
  <c r="T44" i="2" s="1"/>
  <c r="U44" i="2" s="1"/>
  <c r="S28" i="2"/>
  <c r="T28" i="2" s="1"/>
  <c r="U28" i="2" s="1"/>
  <c r="G22" i="5"/>
  <c r="I22" i="5" s="1"/>
  <c r="J22" i="5" s="1"/>
  <c r="G41" i="5"/>
  <c r="I41" i="5" s="1"/>
  <c r="J41" i="5" s="1"/>
  <c r="S47" i="2"/>
  <c r="T47" i="2" s="1"/>
  <c r="U47" i="2" s="1"/>
  <c r="G25" i="5"/>
  <c r="I25" i="5" s="1"/>
  <c r="J25" i="5" s="1"/>
  <c r="S31" i="2"/>
  <c r="T31" i="2" s="1"/>
  <c r="U31" i="2" s="1"/>
  <c r="G33" i="5"/>
  <c r="I33" i="5" s="1"/>
  <c r="J33" i="5" s="1"/>
  <c r="S39" i="2"/>
  <c r="T39" i="2" s="1"/>
  <c r="U39" i="2" s="1"/>
  <c r="S36" i="2"/>
  <c r="T36" i="2" s="1"/>
  <c r="U36" i="2" s="1"/>
  <c r="G30" i="5"/>
  <c r="I30" i="5" s="1"/>
  <c r="J30" i="5" s="1"/>
  <c r="S20" i="2"/>
  <c r="T20" i="2" s="1"/>
  <c r="U20" i="2" s="1"/>
  <c r="G14" i="5"/>
  <c r="I14" i="5" s="1"/>
  <c r="J14" i="5" s="1"/>
  <c r="S14" i="5" s="1"/>
  <c r="T14" i="5" s="1"/>
  <c r="G49" i="5"/>
  <c r="I49" i="5" s="1"/>
  <c r="J49" i="5" s="1"/>
  <c r="S55" i="2"/>
  <c r="T55" i="2" s="1"/>
  <c r="U55" i="2" s="1"/>
  <c r="G17" i="5"/>
  <c r="I17" i="5" s="1"/>
  <c r="J17" i="5" s="1"/>
  <c r="S23" i="2"/>
  <c r="T23" i="2" s="1"/>
  <c r="U23" i="2" s="1"/>
  <c r="S12" i="5" l="1"/>
  <c r="T12" i="5" s="1"/>
  <c r="S24" i="5"/>
  <c r="T24" i="5" s="1"/>
  <c r="S36" i="5"/>
  <c r="T36" i="5" s="1"/>
  <c r="S30" i="5"/>
  <c r="T30" i="5" s="1"/>
  <c r="S43" i="5"/>
  <c r="T43" i="5" s="1"/>
  <c r="S37" i="5"/>
  <c r="T37" i="5" s="1"/>
  <c r="S48" i="5"/>
  <c r="T48" i="5" s="1"/>
  <c r="S42" i="5"/>
  <c r="T42" i="5" s="1"/>
  <c r="S26" i="5"/>
  <c r="T26" i="5" s="1"/>
  <c r="S44" i="5"/>
  <c r="T44" i="5" s="1"/>
  <c r="S32" i="5"/>
  <c r="T32" i="5" s="1"/>
  <c r="S18" i="5"/>
  <c r="T18" i="5" s="1"/>
  <c r="S50" i="5"/>
  <c r="T50" i="5" s="1"/>
  <c r="S19" i="5"/>
  <c r="T19" i="5" s="1"/>
  <c r="S20" i="5"/>
  <c r="T20" i="5" s="1"/>
  <c r="S46" i="5"/>
  <c r="T46" i="5" s="1"/>
  <c r="S16" i="5"/>
  <c r="T16" i="5" s="1"/>
  <c r="S39" i="5"/>
  <c r="T39" i="5" s="1"/>
  <c r="S28" i="5"/>
  <c r="T28" i="5" s="1"/>
  <c r="S22" i="5"/>
  <c r="T22" i="5" s="1"/>
  <c r="S23" i="5"/>
  <c r="T23" i="5" s="1"/>
  <c r="S38" i="5"/>
  <c r="T38" i="5" s="1"/>
  <c r="S21" i="5"/>
  <c r="T21" i="5" s="1"/>
  <c r="S35" i="5"/>
  <c r="T35" i="5" s="1"/>
  <c r="S17" i="5"/>
  <c r="T17" i="5" s="1"/>
  <c r="S29" i="5"/>
  <c r="T29" i="5" s="1"/>
  <c r="S31" i="5"/>
  <c r="T31" i="5" s="1"/>
  <c r="S15" i="5"/>
  <c r="T15" i="5" s="1"/>
  <c r="S49" i="5"/>
  <c r="T49" i="5" s="1"/>
  <c r="S47" i="5"/>
  <c r="T47" i="5" s="1"/>
  <c r="S13" i="5"/>
  <c r="T13" i="5" s="1"/>
  <c r="S45" i="5"/>
  <c r="T45" i="5" s="1"/>
  <c r="S27" i="5"/>
  <c r="T27" i="5" s="1"/>
  <c r="S11" i="5"/>
  <c r="T11" i="5" s="1"/>
  <c r="S33" i="5"/>
  <c r="T33" i="5" s="1"/>
  <c r="S25" i="5"/>
  <c r="T25" i="5" s="1"/>
  <c r="S41" i="5"/>
  <c r="T41" i="5" s="1"/>
</calcChain>
</file>

<file path=xl/sharedStrings.xml><?xml version="1.0" encoding="utf-8"?>
<sst xmlns="http://schemas.openxmlformats.org/spreadsheetml/2006/main" count="185" uniqueCount="68">
  <si>
    <t xml:space="preserve">Panpacific University </t>
  </si>
  <si>
    <t>Campus</t>
  </si>
  <si>
    <t>PanpacificU-AO-Form-03-RevisionStatus/Date:01/20January2025</t>
  </si>
  <si>
    <t>Student No.</t>
  </si>
  <si>
    <t>NAME</t>
  </si>
  <si>
    <t>LECTURE GRADE</t>
  </si>
  <si>
    <t xml:space="preserve">PRELIM GRADE </t>
  </si>
  <si>
    <t>REMARKS</t>
  </si>
  <si>
    <t>CLASS STANDING</t>
  </si>
  <si>
    <t>EXAMINATION</t>
  </si>
  <si>
    <t>ASSIGNMENT/QUIZZES/ACTIVITIES/ CLASS PARTICIPATION</t>
  </si>
  <si>
    <t>Prelim Exam</t>
  </si>
  <si>
    <t>T</t>
  </si>
  <si>
    <t>E</t>
  </si>
  <si>
    <t>Weight %</t>
  </si>
  <si>
    <t>%</t>
  </si>
  <si>
    <t>Submitted by:</t>
  </si>
  <si>
    <t>Reviewed by:</t>
  </si>
  <si>
    <t>Note:</t>
  </si>
  <si>
    <t>Do not edit the cell in green highlighted</t>
  </si>
  <si>
    <t>Name</t>
  </si>
  <si>
    <t>Midterm Exam</t>
  </si>
  <si>
    <t>Semi-Final Exam</t>
  </si>
  <si>
    <t xml:space="preserve">FINALSGRADE </t>
  </si>
  <si>
    <t>Final Course Output</t>
  </si>
  <si>
    <t>Final Exam</t>
  </si>
  <si>
    <t xml:space="preserve">PANPACIFIC UNIVERSITY </t>
  </si>
  <si>
    <t xml:space="preserve">Campus </t>
  </si>
  <si>
    <t>GRADING SHEET</t>
  </si>
  <si>
    <t>Class Standing</t>
  </si>
  <si>
    <t>(CS)</t>
  </si>
  <si>
    <t>Periodical Test</t>
  </si>
  <si>
    <t>(PT)</t>
  </si>
  <si>
    <t>Research Project</t>
  </si>
  <si>
    <t>(R/P)</t>
  </si>
  <si>
    <t>No.</t>
  </si>
  <si>
    <t>PRELIM</t>
  </si>
  <si>
    <t>MID-TERM</t>
  </si>
  <si>
    <t>SEMI-FINALS</t>
  </si>
  <si>
    <t>FINAL</t>
  </si>
  <si>
    <t>NAME OF STUDENT</t>
  </si>
  <si>
    <t>CS</t>
  </si>
  <si>
    <t>PT</t>
  </si>
  <si>
    <t>FG</t>
  </si>
  <si>
    <t>SG</t>
  </si>
  <si>
    <t>NOTHING FOLLOWS</t>
  </si>
  <si>
    <t>SUBMITTED BY:</t>
  </si>
  <si>
    <t>REVIEWED BY:</t>
  </si>
  <si>
    <t>ISSUE STATUS</t>
  </si>
  <si>
    <t>REV. NO</t>
  </si>
  <si>
    <t>DATE</t>
  </si>
  <si>
    <t>APPROVED BY:</t>
  </si>
  <si>
    <t>PAGE NO</t>
  </si>
  <si>
    <t>PRESIDENT</t>
  </si>
  <si>
    <t>FACULTY, (PUMMA)</t>
  </si>
  <si>
    <t xml:space="preserve"> _1ST___Term / A.Y . __2526____</t>
  </si>
  <si>
    <t>Rhenier Seril</t>
  </si>
  <si>
    <t>SCHOOL OF URDANETA CITY</t>
  </si>
  <si>
    <t>Dean PUMMA</t>
  </si>
  <si>
    <t>Jomer D. Pascua, MM</t>
  </si>
  <si>
    <t>Rhenier S. Seril</t>
  </si>
  <si>
    <t>PROGRAM &amp; SECTION: BSMT2B</t>
  </si>
  <si>
    <t>Course/Year/ Sec: BSMT 2B</t>
  </si>
  <si>
    <t>COURSE TITLE: Celestial Navigation_Nav 254</t>
  </si>
  <si>
    <t>LABORATORY</t>
  </si>
  <si>
    <t>Course Code: Nav 254b</t>
  </si>
  <si>
    <t>Course Title: Celestial Navigation_Nav 254b</t>
  </si>
  <si>
    <r>
      <rPr>
        <b/>
        <u/>
        <sz val="12"/>
        <rFont val="Arial Narrow"/>
        <family val="2"/>
      </rPr>
      <t>___</t>
    </r>
    <r>
      <rPr>
        <b/>
        <sz val="12"/>
        <rFont val="Arial Narrow"/>
        <family val="2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</si>
</sst>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d\,\ mmmm\,\ yyyy"/>
  </numFmts>
  <fonts count="5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theme="1"/>
      <name val="Calibri"/>
      <family val="2"/>
    </font>
    <font>
      <b/>
      <sz val="12"/>
      <color theme="1"/>
      <name val="Rockwell"/>
      <family val="1"/>
    </font>
    <font>
      <sz val="8"/>
      <color theme="1"/>
      <name val="Cambria"/>
      <family val="1"/>
    </font>
    <font>
      <b/>
      <sz val="11"/>
      <color theme="1"/>
      <name val="Rockwell"/>
      <family val="1"/>
    </font>
    <font>
      <sz val="11"/>
      <name val="Calibri"/>
      <family val="2"/>
      <scheme val="minor"/>
    </font>
    <font>
      <sz val="12"/>
      <color theme="1"/>
      <name val="Rockwell"/>
      <family val="1"/>
    </font>
    <font>
      <b/>
      <sz val="12"/>
      <color theme="1"/>
      <name val="Arial Narrow"/>
      <family val="2"/>
    </font>
    <font>
      <b/>
      <sz val="6"/>
      <color theme="1"/>
      <name val="Rockwell"/>
      <family val="1"/>
    </font>
    <font>
      <b/>
      <sz val="10"/>
      <color theme="1"/>
      <name val="Rockwell"/>
      <family val="1"/>
    </font>
    <font>
      <sz val="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Rockwell"/>
      <family val="1"/>
    </font>
    <font>
      <b/>
      <sz val="7"/>
      <color theme="1"/>
      <name val="Rockwell"/>
      <family val="1"/>
    </font>
    <font>
      <b/>
      <sz val="12"/>
      <color rgb="FF000000"/>
      <name val="Rockwell"/>
      <family val="1"/>
    </font>
    <font>
      <sz val="12"/>
      <color rgb="FF000000"/>
      <name val="Rockwell"/>
      <family val="1"/>
    </font>
    <font>
      <b/>
      <sz val="14"/>
      <color rgb="FF6AA84F"/>
      <name val="Cambria"/>
      <family val="1"/>
    </font>
    <font>
      <b/>
      <sz val="12"/>
      <color rgb="FF45818E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</font>
    <font>
      <sz val="12"/>
      <color rgb="FF000000"/>
      <name val="Arial Narrow"/>
      <family val="2"/>
    </font>
    <font>
      <sz val="12"/>
      <color theme="1"/>
      <name val="Calibri"/>
      <family val="2"/>
    </font>
    <font>
      <b/>
      <sz val="12"/>
      <color rgb="FF000000"/>
      <name val="Arial Narrow"/>
      <family val="2"/>
    </font>
    <font>
      <b/>
      <sz val="12"/>
      <color rgb="FF000000"/>
      <name val="Calibri"/>
      <family val="2"/>
    </font>
    <font>
      <b/>
      <sz val="11"/>
      <color theme="1"/>
      <name val="Rockwell"/>
      <family val="1"/>
    </font>
    <font>
      <sz val="11"/>
      <name val="Calibri"/>
      <family val="2"/>
      <scheme val="minor"/>
    </font>
    <font>
      <sz val="11"/>
      <color theme="1"/>
      <name val="Rockwell"/>
      <family val="1"/>
    </font>
    <font>
      <sz val="11"/>
      <name val="Rockwell"/>
      <family val="1"/>
    </font>
    <font>
      <sz val="12"/>
      <name val="Rockwell"/>
      <family val="1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1"/>
      <name val="Cambria"/>
      <family val="1"/>
    </font>
    <font>
      <b/>
      <sz val="11"/>
      <color rgb="FFFF0000"/>
      <name val="Rockwell"/>
      <family val="1"/>
    </font>
    <font>
      <b/>
      <sz val="11"/>
      <color rgb="FFFF0000"/>
      <name val="Calibri"/>
      <family val="2"/>
    </font>
    <font>
      <b/>
      <sz val="6"/>
      <name val="Calibri"/>
      <family val="2"/>
    </font>
    <font>
      <b/>
      <sz val="14"/>
      <name val="Cambria"/>
      <family val="1"/>
    </font>
    <font>
      <sz val="11"/>
      <name val="Calibri"/>
      <charset val="134"/>
      <scheme val="minor"/>
    </font>
    <font>
      <b/>
      <sz val="11"/>
      <name val="Cambria"/>
      <family val="1"/>
    </font>
    <font>
      <b/>
      <sz val="13"/>
      <name val="Rockwell"/>
      <family val="1"/>
    </font>
    <font>
      <b/>
      <sz val="12"/>
      <name val="Rockwell"/>
      <family val="1"/>
    </font>
    <font>
      <sz val="8"/>
      <name val="Cambria"/>
      <family val="1"/>
    </font>
    <font>
      <b/>
      <sz val="11"/>
      <name val="Rockwell"/>
      <family val="1"/>
    </font>
    <font>
      <b/>
      <sz val="12"/>
      <name val="Times New Roman"/>
      <family val="1"/>
    </font>
    <font>
      <b/>
      <sz val="12"/>
      <name val="Arial Narrow"/>
      <family val="2"/>
    </font>
    <font>
      <b/>
      <sz val="11"/>
      <name val="Calibri"/>
      <family val="2"/>
    </font>
    <font>
      <b/>
      <u/>
      <sz val="12"/>
      <name val="Arial Narrow"/>
      <family val="2"/>
    </font>
    <font>
      <b/>
      <sz val="7"/>
      <name val="Arial"/>
      <family val="2"/>
    </font>
    <font>
      <b/>
      <sz val="4"/>
      <name val="Tahoma"/>
      <family val="2"/>
    </font>
    <font>
      <b/>
      <sz val="6"/>
      <name val="Arial Narrow"/>
      <family val="2"/>
    </font>
    <font>
      <b/>
      <sz val="6"/>
      <name val="Rockwell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333333"/>
      </left>
      <right/>
      <top style="medium">
        <color rgb="FF000000"/>
      </top>
      <bottom style="thin">
        <color rgb="FF333333"/>
      </bottom>
      <diagonal/>
    </border>
    <border>
      <left/>
      <right/>
      <top style="medium">
        <color rgb="FF000000"/>
      </top>
      <bottom style="thin">
        <color rgb="FF333333"/>
      </bottom>
      <diagonal/>
    </border>
    <border>
      <left/>
      <right style="medium">
        <color rgb="FF333333"/>
      </right>
      <top style="medium">
        <color rgb="FF000000"/>
      </top>
      <bottom style="thin">
        <color rgb="FF33333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333333"/>
      </left>
      <right style="thin">
        <color rgb="FF333333"/>
      </right>
      <top style="thin">
        <color rgb="FF333333"/>
      </top>
      <bottom style="medium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000000"/>
      </bottom>
      <diagonal/>
    </border>
    <border>
      <left style="thin">
        <color rgb="FF333333"/>
      </left>
      <right style="medium">
        <color rgb="FF333333"/>
      </right>
      <top style="thin">
        <color rgb="FF333333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333333"/>
      </bottom>
      <diagonal/>
    </border>
    <border>
      <left style="medium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medium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333333"/>
      </left>
      <right style="medium">
        <color rgb="FF333333"/>
      </right>
      <top/>
      <bottom style="thin">
        <color rgb="FF333333"/>
      </bottom>
      <diagonal/>
    </border>
    <border>
      <left/>
      <right style="medium">
        <color rgb="FF333333"/>
      </right>
      <top/>
      <bottom style="thin">
        <color rgb="FF333333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333333"/>
      </right>
      <top style="medium">
        <color rgb="FF000000"/>
      </top>
      <bottom/>
      <diagonal/>
    </border>
    <border>
      <left style="thin">
        <color rgb="FF333333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333333"/>
      </right>
      <top/>
      <bottom/>
      <diagonal/>
    </border>
    <border>
      <left style="thin">
        <color rgb="FF333333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/>
      <top/>
      <bottom style="thin">
        <color rgb="FF333333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333333"/>
      </bottom>
      <diagonal/>
    </border>
    <border>
      <left style="thin">
        <color rgb="FF333333"/>
      </left>
      <right style="medium">
        <color rgb="FF000000"/>
      </right>
      <top style="thin">
        <color rgb="FF333333"/>
      </top>
      <bottom style="thin">
        <color rgb="FF333333"/>
      </bottom>
      <diagonal/>
    </border>
    <border>
      <left/>
      <right style="medium">
        <color rgb="FF000000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3" fillId="0" borderId="0" xfId="0" applyFont="1"/>
    <xf numFmtId="0" fontId="6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6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/>
    <xf numFmtId="0" fontId="18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/>
    <xf numFmtId="0" fontId="8" fillId="4" borderId="16" xfId="0" applyFont="1" applyFill="1" applyBorder="1" applyAlignment="1">
      <alignment vertical="center" wrapText="1"/>
    </xf>
    <xf numFmtId="0" fontId="22" fillId="2" borderId="0" xfId="0" applyFont="1" applyFill="1"/>
    <xf numFmtId="0" fontId="8" fillId="2" borderId="16" xfId="0" applyFont="1" applyFill="1" applyBorder="1" applyAlignment="1">
      <alignment vertical="center" wrapText="1"/>
    </xf>
    <xf numFmtId="0" fontId="23" fillId="2" borderId="0" xfId="0" applyFont="1" applyFill="1"/>
    <xf numFmtId="0" fontId="8" fillId="2" borderId="0" xfId="0" applyFont="1" applyFill="1"/>
    <xf numFmtId="0" fontId="21" fillId="2" borderId="22" xfId="0" applyFont="1" applyFill="1" applyBorder="1"/>
    <xf numFmtId="0" fontId="21" fillId="0" borderId="0" xfId="0" applyFont="1"/>
    <xf numFmtId="0" fontId="21" fillId="4" borderId="0" xfId="0" applyFont="1" applyFill="1"/>
    <xf numFmtId="0" fontId="5" fillId="2" borderId="0" xfId="0" applyFont="1" applyFill="1"/>
    <xf numFmtId="1" fontId="21" fillId="0" borderId="46" xfId="0" applyNumberFormat="1" applyFont="1" applyBorder="1"/>
    <xf numFmtId="0" fontId="21" fillId="0" borderId="46" xfId="0" applyFont="1" applyBorder="1"/>
    <xf numFmtId="1" fontId="22" fillId="2" borderId="0" xfId="0" applyNumberFormat="1" applyFont="1" applyFill="1"/>
    <xf numFmtId="1" fontId="23" fillId="2" borderId="0" xfId="0" applyNumberFormat="1" applyFont="1" applyFill="1"/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6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4" fillId="2" borderId="38" xfId="0" applyFont="1" applyFill="1" applyBorder="1"/>
    <xf numFmtId="0" fontId="4" fillId="2" borderId="18" xfId="0" applyFont="1" applyFill="1" applyBorder="1"/>
    <xf numFmtId="0" fontId="4" fillId="2" borderId="16" xfId="0" applyFont="1" applyFill="1" applyBorder="1"/>
    <xf numFmtId="0" fontId="30" fillId="0" borderId="12" xfId="0" applyFont="1" applyBorder="1"/>
    <xf numFmtId="2" fontId="9" fillId="2" borderId="14" xfId="0" applyNumberFormat="1" applyFont="1" applyFill="1" applyBorder="1"/>
    <xf numFmtId="0" fontId="32" fillId="2" borderId="0" xfId="0" applyFont="1" applyFill="1"/>
    <xf numFmtId="0" fontId="31" fillId="0" borderId="0" xfId="0" applyFont="1"/>
    <xf numFmtId="0" fontId="33" fillId="2" borderId="0" xfId="0" applyFont="1" applyFill="1"/>
    <xf numFmtId="0" fontId="7" fillId="0" borderId="0" xfId="0" applyFont="1"/>
    <xf numFmtId="0" fontId="34" fillId="0" borderId="0" xfId="0" applyFont="1"/>
    <xf numFmtId="0" fontId="35" fillId="0" borderId="0" xfId="0" applyFont="1"/>
    <xf numFmtId="0" fontId="4" fillId="2" borderId="38" xfId="0" applyFont="1" applyFill="1" applyBorder="1" applyAlignment="1">
      <alignment horizontal="center" wrapText="1"/>
    </xf>
    <xf numFmtId="0" fontId="8" fillId="2" borderId="42" xfId="0" applyFont="1" applyFill="1" applyBorder="1" applyAlignment="1">
      <alignment horizontal="center" wrapText="1"/>
    </xf>
    <xf numFmtId="2" fontId="9" fillId="2" borderId="44" xfId="0" applyNumberFormat="1" applyFont="1" applyFill="1" applyBorder="1"/>
    <xf numFmtId="2" fontId="36" fillId="2" borderId="14" xfId="0" applyNumberFormat="1" applyFont="1" applyFill="1" applyBorder="1"/>
    <xf numFmtId="0" fontId="36" fillId="2" borderId="0" xfId="0" applyFont="1" applyFill="1"/>
    <xf numFmtId="0" fontId="37" fillId="2" borderId="0" xfId="0" applyFont="1" applyFill="1" applyAlignment="1">
      <alignment horizontal="center"/>
    </xf>
    <xf numFmtId="0" fontId="2" fillId="0" borderId="18" xfId="0" applyFont="1" applyBorder="1"/>
    <xf numFmtId="0" fontId="4" fillId="2" borderId="37" xfId="0" applyFont="1" applyFill="1" applyBorder="1" applyAlignment="1">
      <alignment horizontal="center" shrinkToFit="1"/>
    </xf>
    <xf numFmtId="0" fontId="4" fillId="2" borderId="38" xfId="0" applyFont="1" applyFill="1" applyBorder="1" applyAlignment="1">
      <alignment horizontal="center" shrinkToFit="1"/>
    </xf>
    <xf numFmtId="0" fontId="4" fillId="2" borderId="50" xfId="0" applyFont="1" applyFill="1" applyBorder="1" applyAlignment="1">
      <alignment horizontal="center" wrapText="1"/>
    </xf>
    <xf numFmtId="0" fontId="8" fillId="2" borderId="41" xfId="0" applyFont="1" applyFill="1" applyBorder="1" applyAlignment="1">
      <alignment horizontal="center" wrapText="1"/>
    </xf>
    <xf numFmtId="9" fontId="8" fillId="2" borderId="42" xfId="0" applyNumberFormat="1" applyFont="1" applyFill="1" applyBorder="1" applyAlignment="1">
      <alignment horizontal="center" wrapText="1"/>
    </xf>
    <xf numFmtId="9" fontId="8" fillId="2" borderId="51" xfId="0" applyNumberFormat="1" applyFont="1" applyFill="1" applyBorder="1" applyAlignment="1">
      <alignment horizontal="center" wrapText="1"/>
    </xf>
    <xf numFmtId="0" fontId="36" fillId="4" borderId="43" xfId="0" applyFont="1" applyFill="1" applyBorder="1"/>
    <xf numFmtId="1" fontId="36" fillId="2" borderId="39" xfId="0" applyNumberFormat="1" applyFont="1" applyFill="1" applyBorder="1"/>
    <xf numFmtId="1" fontId="36" fillId="2" borderId="44" xfId="0" applyNumberFormat="1" applyFont="1" applyFill="1" applyBorder="1"/>
    <xf numFmtId="1" fontId="8" fillId="4" borderId="44" xfId="0" applyNumberFormat="1" applyFont="1" applyFill="1" applyBorder="1" applyAlignment="1">
      <alignment horizontal="center" wrapText="1"/>
    </xf>
    <xf numFmtId="2" fontId="8" fillId="4" borderId="44" xfId="0" applyNumberFormat="1" applyFont="1" applyFill="1" applyBorder="1" applyAlignment="1">
      <alignment horizontal="center" wrapText="1"/>
    </xf>
    <xf numFmtId="2" fontId="36" fillId="4" borderId="44" xfId="0" applyNumberFormat="1" applyFont="1" applyFill="1" applyBorder="1"/>
    <xf numFmtId="2" fontId="36" fillId="2" borderId="44" xfId="0" applyNumberFormat="1" applyFont="1" applyFill="1" applyBorder="1"/>
    <xf numFmtId="2" fontId="36" fillId="4" borderId="53" xfId="0" applyNumberFormat="1" applyFont="1" applyFill="1" applyBorder="1"/>
    <xf numFmtId="2" fontId="9" fillId="4" borderId="54" xfId="0" applyNumberFormat="1" applyFont="1" applyFill="1" applyBorder="1"/>
    <xf numFmtId="2" fontId="9" fillId="2" borderId="54" xfId="0" applyNumberFormat="1" applyFont="1" applyFill="1" applyBorder="1"/>
    <xf numFmtId="1" fontId="36" fillId="2" borderId="43" xfId="0" applyNumberFormat="1" applyFont="1" applyFill="1" applyBorder="1"/>
    <xf numFmtId="1" fontId="36" fillId="2" borderId="14" xfId="0" applyNumberFormat="1" applyFont="1" applyFill="1" applyBorder="1"/>
    <xf numFmtId="1" fontId="8" fillId="4" borderId="14" xfId="0" applyNumberFormat="1" applyFont="1" applyFill="1" applyBorder="1" applyAlignment="1">
      <alignment horizontal="center" wrapText="1"/>
    </xf>
    <xf numFmtId="2" fontId="8" fillId="4" borderId="14" xfId="0" applyNumberFormat="1" applyFont="1" applyFill="1" applyBorder="1" applyAlignment="1">
      <alignment horizontal="center" wrapText="1"/>
    </xf>
    <xf numFmtId="2" fontId="36" fillId="4" borderId="14" xfId="0" applyNumberFormat="1" applyFont="1" applyFill="1" applyBorder="1"/>
    <xf numFmtId="1" fontId="4" fillId="2" borderId="38" xfId="0" applyNumberFormat="1" applyFont="1" applyFill="1" applyBorder="1" applyAlignment="1">
      <alignment horizontal="center" wrapText="1"/>
    </xf>
    <xf numFmtId="1" fontId="8" fillId="2" borderId="42" xfId="0" applyNumberFormat="1" applyFont="1" applyFill="1" applyBorder="1" applyAlignment="1">
      <alignment horizontal="center" wrapText="1"/>
    </xf>
    <xf numFmtId="0" fontId="23" fillId="0" borderId="0" xfId="0" applyFont="1"/>
    <xf numFmtId="0" fontId="4" fillId="0" borderId="55" xfId="0" applyFont="1" applyBorder="1" applyAlignment="1">
      <alignment horizontal="left"/>
    </xf>
    <xf numFmtId="0" fontId="9" fillId="2" borderId="0" xfId="0" applyFont="1" applyFill="1"/>
    <xf numFmtId="0" fontId="39" fillId="0" borderId="0" xfId="0" applyFont="1"/>
    <xf numFmtId="0" fontId="40" fillId="0" borderId="0" xfId="0" applyFont="1"/>
    <xf numFmtId="0" fontId="42" fillId="0" borderId="0" xfId="0" applyFont="1"/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9" fillId="0" borderId="0" xfId="0" applyFont="1"/>
    <xf numFmtId="0" fontId="50" fillId="0" borderId="0" xfId="0" applyFont="1"/>
    <xf numFmtId="9" fontId="51" fillId="0" borderId="0" xfId="0" applyNumberFormat="1" applyFont="1" applyAlignment="1">
      <alignment horizontal="center"/>
    </xf>
    <xf numFmtId="164" fontId="52" fillId="0" borderId="0" xfId="0" applyNumberFormat="1" applyFont="1" applyAlignment="1">
      <alignment horizontal="left"/>
    </xf>
    <xf numFmtId="164" fontId="52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164" fontId="52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45" fillId="0" borderId="2" xfId="0" applyFont="1" applyBorder="1" applyAlignment="1">
      <alignment wrapText="1"/>
    </xf>
    <xf numFmtId="0" fontId="45" fillId="0" borderId="7" xfId="0" applyFont="1" applyBorder="1" applyAlignment="1">
      <alignment horizontal="center" wrapText="1"/>
    </xf>
    <xf numFmtId="164" fontId="45" fillId="0" borderId="8" xfId="0" applyNumberFormat="1" applyFont="1" applyBorder="1" applyAlignment="1">
      <alignment horizontal="center" vertical="center" wrapText="1"/>
    </xf>
    <xf numFmtId="164" fontId="45" fillId="0" borderId="9" xfId="0" applyNumberFormat="1" applyFont="1" applyBorder="1" applyAlignment="1">
      <alignment horizontal="center" vertical="center" wrapText="1"/>
    </xf>
    <xf numFmtId="1" fontId="45" fillId="0" borderId="10" xfId="0" applyNumberFormat="1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54" fillId="0" borderId="11" xfId="0" applyFont="1" applyBorder="1"/>
    <xf numFmtId="2" fontId="49" fillId="0" borderId="13" xfId="0" applyNumberFormat="1" applyFont="1" applyBorder="1" applyAlignment="1">
      <alignment horizontal="center" vertical="center"/>
    </xf>
    <xf numFmtId="2" fontId="49" fillId="0" borderId="14" xfId="0" applyNumberFormat="1" applyFont="1" applyBorder="1" applyAlignment="1">
      <alignment horizontal="center" vertical="center"/>
    </xf>
    <xf numFmtId="2" fontId="49" fillId="0" borderId="15" xfId="0" applyNumberFormat="1" applyFont="1" applyBorder="1" applyAlignment="1">
      <alignment horizontal="center" vertical="center"/>
    </xf>
    <xf numFmtId="2" fontId="49" fillId="0" borderId="21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/>
    <xf numFmtId="0" fontId="10" fillId="0" borderId="16" xfId="0" applyFont="1" applyBorder="1" applyAlignment="1">
      <alignment horizontal="center"/>
    </xf>
    <xf numFmtId="0" fontId="7" fillId="0" borderId="18" xfId="0" applyFont="1" applyBorder="1"/>
    <xf numFmtId="0" fontId="6" fillId="0" borderId="16" xfId="0" applyFont="1" applyBorder="1" applyAlignment="1">
      <alignment horizontal="center"/>
    </xf>
    <xf numFmtId="165" fontId="38" fillId="0" borderId="16" xfId="0" applyNumberFormat="1" applyFont="1" applyBorder="1" applyAlignment="1">
      <alignment horizontal="center"/>
    </xf>
    <xf numFmtId="0" fontId="31" fillId="0" borderId="17" xfId="0" applyFont="1" applyBorder="1"/>
    <xf numFmtId="0" fontId="31" fillId="0" borderId="18" xfId="0" applyFont="1" applyBorder="1"/>
    <xf numFmtId="0" fontId="7" fillId="0" borderId="17" xfId="0" applyFont="1" applyBorder="1"/>
    <xf numFmtId="0" fontId="10" fillId="3" borderId="16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26" fillId="0" borderId="16" xfId="0" applyFont="1" applyBorder="1"/>
    <xf numFmtId="0" fontId="27" fillId="0" borderId="17" xfId="0" applyFont="1" applyBorder="1"/>
    <xf numFmtId="0" fontId="27" fillId="0" borderId="18" xfId="0" applyFont="1" applyBorder="1"/>
    <xf numFmtId="0" fontId="6" fillId="0" borderId="16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28" fillId="0" borderId="0" xfId="0" applyFont="1" applyAlignment="1">
      <alignment horizontal="center"/>
    </xf>
    <xf numFmtId="164" fontId="6" fillId="0" borderId="19" xfId="0" applyNumberFormat="1" applyFont="1" applyBorder="1" applyAlignment="1">
      <alignment horizontal="center"/>
    </xf>
    <xf numFmtId="0" fontId="29" fillId="0" borderId="22" xfId="0" applyFont="1" applyBorder="1"/>
    <xf numFmtId="0" fontId="29" fillId="0" borderId="28" xfId="0" applyFont="1" applyBorder="1"/>
    <xf numFmtId="0" fontId="29" fillId="0" borderId="20" xfId="0" applyFont="1" applyBorder="1"/>
    <xf numFmtId="0" fontId="29" fillId="0" borderId="23" xfId="0" applyFont="1" applyBorder="1"/>
    <xf numFmtId="0" fontId="29" fillId="0" borderId="29" xfId="0" applyFont="1" applyBorder="1"/>
    <xf numFmtId="164" fontId="45" fillId="0" borderId="3" xfId="0" applyNumberFormat="1" applyFont="1" applyBorder="1" applyAlignment="1">
      <alignment horizontal="center" vertical="top"/>
    </xf>
    <xf numFmtId="0" fontId="7" fillId="0" borderId="4" xfId="0" applyFont="1" applyBorder="1"/>
    <xf numFmtId="0" fontId="7" fillId="0" borderId="5" xfId="0" applyFont="1" applyBorder="1"/>
    <xf numFmtId="0" fontId="45" fillId="0" borderId="3" xfId="0" applyFont="1" applyBorder="1" applyAlignment="1">
      <alignment horizontal="center" vertical="top"/>
    </xf>
    <xf numFmtId="0" fontId="55" fillId="0" borderId="16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7" fillId="0" borderId="6" xfId="0" applyFont="1" applyBorder="1"/>
    <xf numFmtId="164" fontId="53" fillId="0" borderId="24" xfId="0" applyNumberFormat="1" applyFont="1" applyBorder="1" applyAlignment="1">
      <alignment horizontal="center" vertical="center" textRotation="90" wrapText="1"/>
    </xf>
    <xf numFmtId="0" fontId="7" fillId="0" borderId="25" xfId="0" applyFont="1" applyBorder="1"/>
    <xf numFmtId="0" fontId="41" fillId="0" borderId="0" xfId="0" applyFont="1" applyAlignment="1">
      <alignment horizontal="center"/>
    </xf>
    <xf numFmtId="0" fontId="42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2" borderId="0" xfId="0" applyFont="1" applyFill="1" applyAlignment="1">
      <alignment horizontal="right"/>
    </xf>
    <xf numFmtId="0" fontId="8" fillId="2" borderId="30" xfId="0" applyFont="1" applyFill="1" applyBorder="1" applyAlignment="1">
      <alignment horizontal="center" wrapText="1"/>
    </xf>
    <xf numFmtId="0" fontId="1" fillId="0" borderId="34" xfId="0" applyFont="1" applyBorder="1"/>
    <xf numFmtId="0" fontId="1" fillId="0" borderId="39" xfId="0" applyFont="1" applyBorder="1"/>
    <xf numFmtId="0" fontId="36" fillId="2" borderId="0" xfId="0" applyFont="1" applyFill="1"/>
    <xf numFmtId="0" fontId="1" fillId="0" borderId="0" xfId="0" applyFont="1"/>
    <xf numFmtId="0" fontId="1" fillId="0" borderId="23" xfId="0" applyFont="1" applyBorder="1"/>
    <xf numFmtId="0" fontId="8" fillId="2" borderId="35" xfId="0" applyFont="1" applyFill="1" applyBorder="1" applyAlignment="1">
      <alignment horizontal="center" wrapText="1"/>
    </xf>
    <xf numFmtId="0" fontId="1" fillId="0" borderId="35" xfId="0" applyFont="1" applyBorder="1"/>
    <xf numFmtId="0" fontId="1" fillId="0" borderId="40" xfId="0" applyFont="1" applyBorder="1"/>
    <xf numFmtId="0" fontId="4" fillId="2" borderId="24" xfId="0" applyFont="1" applyFill="1" applyBorder="1" applyAlignment="1">
      <alignment horizontal="center" textRotation="90" wrapText="1"/>
    </xf>
    <xf numFmtId="0" fontId="1" fillId="0" borderId="49" xfId="0" applyFont="1" applyBorder="1"/>
    <xf numFmtId="0" fontId="1" fillId="0" borderId="52" xfId="0" applyFont="1" applyBorder="1"/>
    <xf numFmtId="0" fontId="6" fillId="0" borderId="19" xfId="0" applyFont="1" applyBorder="1" applyAlignment="1">
      <alignment horizontal="center" vertical="center"/>
    </xf>
    <xf numFmtId="0" fontId="1" fillId="0" borderId="22" xfId="0" applyFont="1" applyBorder="1"/>
    <xf numFmtId="0" fontId="1" fillId="0" borderId="45" xfId="0" applyFont="1" applyBorder="1"/>
    <xf numFmtId="0" fontId="1" fillId="0" borderId="28" xfId="0" applyFont="1" applyBorder="1"/>
    <xf numFmtId="0" fontId="1" fillId="0" borderId="20" xfId="0" applyFont="1" applyBorder="1"/>
    <xf numFmtId="0" fontId="1" fillId="0" borderId="29" xfId="0" applyFont="1" applyBorder="1"/>
    <xf numFmtId="0" fontId="4" fillId="2" borderId="36" xfId="0" applyFont="1" applyFill="1" applyBorder="1" applyAlignment="1">
      <alignment horizontal="center" shrinkToFit="1"/>
    </xf>
    <xf numFmtId="0" fontId="1" fillId="0" borderId="17" xfId="0" applyFont="1" applyBorder="1"/>
    <xf numFmtId="0" fontId="1" fillId="0" borderId="18" xfId="0" applyFont="1" applyBorder="1"/>
    <xf numFmtId="0" fontId="4" fillId="2" borderId="16" xfId="0" applyFont="1" applyFill="1" applyBorder="1" applyAlignment="1">
      <alignment horizontal="center" wrapText="1"/>
    </xf>
    <xf numFmtId="0" fontId="1" fillId="0" borderId="48" xfId="0" applyFont="1" applyBorder="1"/>
    <xf numFmtId="0" fontId="8" fillId="0" borderId="16" xfId="0" applyFont="1" applyBorder="1" applyAlignment="1">
      <alignment horizontal="left"/>
    </xf>
    <xf numFmtId="0" fontId="8" fillId="0" borderId="16" xfId="0" applyFont="1" applyBorder="1" applyAlignment="1">
      <alignment horizontal="center"/>
    </xf>
    <xf numFmtId="0" fontId="21" fillId="2" borderId="19" xfId="0" applyFont="1" applyFill="1" applyBorder="1"/>
    <xf numFmtId="0" fontId="21" fillId="0" borderId="0" xfId="0" applyFont="1"/>
    <xf numFmtId="0" fontId="1" fillId="0" borderId="46" xfId="0" applyFont="1" applyBorder="1"/>
    <xf numFmtId="0" fontId="4" fillId="2" borderId="32" xfId="0" applyFont="1" applyFill="1" applyBorder="1" applyAlignment="1">
      <alignment horizontal="center" wrapText="1"/>
    </xf>
    <xf numFmtId="0" fontId="1" fillId="0" borderId="33" xfId="0" applyFont="1" applyBorder="1"/>
    <xf numFmtId="0" fontId="1" fillId="0" borderId="47" xfId="0" applyFont="1" applyBorder="1"/>
    <xf numFmtId="0" fontId="4" fillId="2" borderId="36" xfId="0" applyFont="1" applyFill="1" applyBorder="1" applyAlignment="1">
      <alignment horizontal="center" wrapText="1"/>
    </xf>
    <xf numFmtId="0" fontId="37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2" borderId="16" xfId="0" applyFont="1" applyFill="1" applyBorder="1"/>
    <xf numFmtId="0" fontId="4" fillId="2" borderId="16" xfId="0" applyFont="1" applyFill="1" applyBorder="1"/>
    <xf numFmtId="0" fontId="2" fillId="0" borderId="34" xfId="0" applyFont="1" applyBorder="1"/>
    <xf numFmtId="0" fontId="2" fillId="0" borderId="39" xfId="0" applyFont="1" applyBorder="1"/>
    <xf numFmtId="0" fontId="2" fillId="0" borderId="35" xfId="0" applyFont="1" applyBorder="1"/>
    <xf numFmtId="0" fontId="2" fillId="0" borderId="40" xfId="0" applyFont="1" applyBorder="1"/>
    <xf numFmtId="0" fontId="2" fillId="0" borderId="49" xfId="0" applyFont="1" applyBorder="1"/>
    <xf numFmtId="0" fontId="2" fillId="0" borderId="52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48" xfId="0" applyFont="1" applyBorder="1"/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7" fillId="0" borderId="22" xfId="0" applyFont="1" applyBorder="1"/>
    <xf numFmtId="0" fontId="7" fillId="0" borderId="45" xfId="0" applyFont="1" applyBorder="1"/>
    <xf numFmtId="0" fontId="6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" fillId="0" borderId="22" xfId="0" applyFont="1" applyBorder="1"/>
    <xf numFmtId="0" fontId="2" fillId="0" borderId="46" xfId="0" applyFont="1" applyBorder="1"/>
    <xf numFmtId="0" fontId="2" fillId="0" borderId="33" xfId="0" applyFont="1" applyBorder="1"/>
    <xf numFmtId="0" fontId="2" fillId="0" borderId="47" xfId="0" applyFont="1" applyBorder="1"/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31" xfId="0" applyFont="1" applyFill="1" applyBorder="1" applyAlignment="1">
      <alignment horizontal="center" wrapText="1"/>
    </xf>
    <xf numFmtId="1" fontId="4" fillId="2" borderId="16" xfId="0" applyNumberFormat="1" applyFont="1" applyFill="1" applyBorder="1" applyAlignment="1">
      <alignment horizontal="center" wrapText="1"/>
    </xf>
    <xf numFmtId="1" fontId="21" fillId="0" borderId="0" xfId="0" applyNumberFormat="1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285750</xdr:colOff>
      <xdr:row>0</xdr:row>
      <xdr:rowOff>0</xdr:rowOff>
    </xdr:from>
    <xdr:ext cx="1190625" cy="952500"/>
    <xdr:pic>
      <xdr:nvPicPr>
        <xdr:cNvPr id="2" name="image1.png" descr="unnamed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38520" y="0"/>
          <a:ext cx="1190625" cy="952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2822223</xdr:colOff>
      <xdr:row>56</xdr:row>
      <xdr:rowOff>127000</xdr:rowOff>
    </xdr:from>
    <xdr:to>
      <xdr:col>2</xdr:col>
      <xdr:colOff>85373</xdr:colOff>
      <xdr:row>61</xdr:row>
      <xdr:rowOff>95572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408FB-1DCC-4833-A22E-8AD8EEB01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BCBDB5"/>
            </a:clrFrom>
            <a:clrTo>
              <a:srgbClr val="BCBDB5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1" y="13433778"/>
          <a:ext cx="1898650" cy="956350"/>
        </a:xfrm>
        <a:prstGeom prst="rect">
          <a:avLst/>
        </a:prstGeom>
      </xdr:spPr>
    </xdr:pic>
    <xdr:clientData/>
  </xdr:twoCellAnchor>
  <xdr:twoCellAnchor editAs="oneCell">
    <xdr:from>
      <xdr:col>13</xdr:col>
      <xdr:colOff>338667</xdr:colOff>
      <xdr:row>57</xdr:row>
      <xdr:rowOff>112890</xdr:rowOff>
    </xdr:from>
    <xdr:to>
      <xdr:col>16</xdr:col>
      <xdr:colOff>540456</xdr:colOff>
      <xdr:row>59</xdr:row>
      <xdr:rowOff>47979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D1741C-8596-4C56-B49D-32C79465C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9445" y="13617223"/>
          <a:ext cx="20574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0</xdr:row>
      <xdr:rowOff>0</xdr:rowOff>
    </xdr:from>
    <xdr:ext cx="1190625" cy="952500"/>
    <xdr:pic>
      <xdr:nvPicPr>
        <xdr:cNvPr id="2" name="image1.png" descr="unnamed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90895" y="0"/>
          <a:ext cx="1190625" cy="952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1814286</xdr:colOff>
      <xdr:row>55</xdr:row>
      <xdr:rowOff>126998</xdr:rowOff>
    </xdr:from>
    <xdr:to>
      <xdr:col>1</xdr:col>
      <xdr:colOff>4463144</xdr:colOff>
      <xdr:row>62</xdr:row>
      <xdr:rowOff>64405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158EE-9A91-460F-9928-0208EA773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BCBDB5"/>
            </a:clrFrom>
            <a:clrTo>
              <a:srgbClr val="BCBDB5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6572" y="13334998"/>
          <a:ext cx="2648858" cy="1334407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317501</xdr:colOff>
      <xdr:row>57</xdr:row>
      <xdr:rowOff>99786</xdr:rowOff>
    </xdr:from>
    <xdr:to>
      <xdr:col>16</xdr:col>
      <xdr:colOff>515258</xdr:colOff>
      <xdr:row>59</xdr:row>
      <xdr:rowOff>30843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1B1434-0286-4FD9-A64B-23B90D209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2715" y="13706929"/>
          <a:ext cx="20574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314325</xdr:colOff>
      <xdr:row>0</xdr:row>
      <xdr:rowOff>9525</xdr:rowOff>
    </xdr:from>
    <xdr:ext cx="1190625" cy="952500"/>
    <xdr:pic>
      <xdr:nvPicPr>
        <xdr:cNvPr id="2" name="image1.png" descr="unnamed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7095" y="9525"/>
          <a:ext cx="1190625" cy="952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2476499</xdr:colOff>
      <xdr:row>55</xdr:row>
      <xdr:rowOff>154214</xdr:rowOff>
    </xdr:from>
    <xdr:to>
      <xdr:col>3</xdr:col>
      <xdr:colOff>90713</xdr:colOff>
      <xdr:row>61</xdr:row>
      <xdr:rowOff>191405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DAD0D2-4A83-4B00-AD4E-05C4F977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BCBDB5"/>
            </a:clrFrom>
            <a:clrTo>
              <a:srgbClr val="BCBDB5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8785" y="13362214"/>
          <a:ext cx="2204357" cy="1234620"/>
        </a:xfrm>
        <a:prstGeom prst="rect">
          <a:avLst/>
        </a:prstGeom>
      </xdr:spPr>
    </xdr:pic>
    <xdr:clientData/>
  </xdr:twoCellAnchor>
  <xdr:twoCellAnchor editAs="oneCell">
    <xdr:from>
      <xdr:col>13</xdr:col>
      <xdr:colOff>417285</xdr:colOff>
      <xdr:row>57</xdr:row>
      <xdr:rowOff>108857</xdr:rowOff>
    </xdr:from>
    <xdr:to>
      <xdr:col>17</xdr:col>
      <xdr:colOff>61685</xdr:colOff>
      <xdr:row>59</xdr:row>
      <xdr:rowOff>39914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2A7BAC-F644-452B-88C9-16C402B0C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8928" y="13716000"/>
          <a:ext cx="20574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257175</xdr:colOff>
      <xdr:row>0</xdr:row>
      <xdr:rowOff>0</xdr:rowOff>
    </xdr:from>
    <xdr:ext cx="1190625" cy="952500"/>
    <xdr:pic>
      <xdr:nvPicPr>
        <xdr:cNvPr id="2" name="image1.png" descr="unnamed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90005" y="0"/>
          <a:ext cx="1190625" cy="952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299357</xdr:colOff>
      <xdr:row>57</xdr:row>
      <xdr:rowOff>136071</xdr:rowOff>
    </xdr:from>
    <xdr:to>
      <xdr:col>16</xdr:col>
      <xdr:colOff>478971</xdr:colOff>
      <xdr:row>59</xdr:row>
      <xdr:rowOff>67128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82BCEF-4141-4EB3-85E1-60955FC54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8143" y="13743214"/>
          <a:ext cx="2057400" cy="330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2521856</xdr:colOff>
      <xdr:row>56</xdr:row>
      <xdr:rowOff>45357</xdr:rowOff>
    </xdr:from>
    <xdr:to>
      <xdr:col>1</xdr:col>
      <xdr:colOff>4163785</xdr:colOff>
      <xdr:row>61</xdr:row>
      <xdr:rowOff>191405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052C8-EFA2-42CD-BE8A-F4F9F8AA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BCBDB5"/>
            </a:clrFrom>
            <a:clrTo>
              <a:srgbClr val="BCBDB5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4142" y="13452928"/>
          <a:ext cx="1641929" cy="1143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1152525</xdr:colOff>
      <xdr:row>0</xdr:row>
      <xdr:rowOff>0</xdr:rowOff>
    </xdr:from>
    <xdr:ext cx="1200150" cy="1034415"/>
    <xdr:pic>
      <xdr:nvPicPr>
        <xdr:cNvPr id="2" name="image1.png" descr="unnamed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215" y="0"/>
          <a:ext cx="1200150" cy="103441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106680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E7324AD9-034B-7E61-FC2F-68836CC4F402}"/>
            </a:ext>
          </a:extLst>
        </xdr:cNvPr>
        <xdr:cNvSpPr>
          <a:spLocks noChangeAspect="1" noChangeArrowheads="1"/>
        </xdr:cNvSpPr>
      </xdr:nvSpPr>
      <xdr:spPr bwMode="auto">
        <a:xfrm>
          <a:off x="6461760" y="1228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304800</xdr:colOff>
      <xdr:row>62</xdr:row>
      <xdr:rowOff>106680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8E1DC727-8197-7983-02C7-E758FB6B0858}"/>
            </a:ext>
          </a:extLst>
        </xdr:cNvPr>
        <xdr:cNvSpPr>
          <a:spLocks noChangeAspect="1" noChangeArrowheads="1"/>
        </xdr:cNvSpPr>
      </xdr:nvSpPr>
      <xdr:spPr bwMode="auto">
        <a:xfrm>
          <a:off x="7604760" y="1208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1651000</xdr:colOff>
      <xdr:row>51</xdr:row>
      <xdr:rowOff>127000</xdr:rowOff>
    </xdr:from>
    <xdr:to>
      <xdr:col>1</xdr:col>
      <xdr:colOff>3168650</xdr:colOff>
      <xdr:row>57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785B8D-6F5F-4BC8-B882-69BE09A93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BCBDB5"/>
            </a:clrFrom>
            <a:clrTo>
              <a:srgbClr val="BCBDB5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0" y="10185400"/>
          <a:ext cx="1517650" cy="10731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53</xdr:row>
      <xdr:rowOff>25400</xdr:rowOff>
    </xdr:from>
    <xdr:to>
      <xdr:col>15</xdr:col>
      <xdr:colOff>215901</xdr:colOff>
      <xdr:row>54</xdr:row>
      <xdr:rowOff>158750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5F6ED0-E393-47DB-86CA-154A8A3CE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9300" y="10477500"/>
          <a:ext cx="20574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83"/>
  <sheetViews>
    <sheetView topLeftCell="A13" zoomScale="90" zoomScaleNormal="90" workbookViewId="0">
      <selection activeCell="P16" sqref="P16:P55"/>
    </sheetView>
  </sheetViews>
  <sheetFormatPr defaultColWidth="14.453125" defaultRowHeight="15" customHeight="1"/>
  <cols>
    <col min="1" max="1" width="15.08984375" customWidth="1"/>
    <col min="2" max="2" width="66.36328125" customWidth="1"/>
    <col min="3" max="4" width="5" customWidth="1"/>
    <col min="5" max="5" width="4.6328125" customWidth="1"/>
    <col min="6" max="13" width="7" customWidth="1"/>
    <col min="14" max="14" width="8" customWidth="1"/>
    <col min="15" max="15" width="9.54296875" customWidth="1"/>
    <col min="16" max="16" width="9" customWidth="1"/>
    <col min="17" max="17" width="7.90625" customWidth="1"/>
    <col min="18" max="18" width="10.453125" customWidth="1"/>
    <col min="19" max="19" width="7.6328125" customWidth="1"/>
    <col min="20" max="20" width="9.08984375" customWidth="1"/>
    <col min="21" max="21" width="3.36328125" customWidth="1"/>
    <col min="22" max="29" width="9.08984375" customWidth="1"/>
  </cols>
  <sheetData>
    <row r="1" spans="1:29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5"/>
      <c r="Q1" s="14"/>
      <c r="R1" s="14"/>
      <c r="S1" s="14"/>
      <c r="T1" s="14"/>
      <c r="U1" s="14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6"/>
      <c r="Q2" s="15"/>
      <c r="R2" s="15"/>
      <c r="S2" s="15"/>
      <c r="T2" s="15"/>
      <c r="U2" s="1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35"/>
      <c r="Q3" s="14"/>
      <c r="R3" s="14"/>
      <c r="S3" s="14"/>
      <c r="T3" s="14"/>
      <c r="U3" s="14"/>
      <c r="V3" s="25"/>
      <c r="W3" s="25"/>
      <c r="X3" s="25"/>
      <c r="Y3" s="25"/>
      <c r="Z3" s="25"/>
      <c r="AA3" s="25"/>
      <c r="AB3" s="25"/>
      <c r="AC3" s="25"/>
    </row>
    <row r="4" spans="1:29" ht="15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26"/>
      <c r="Q4" s="17"/>
      <c r="R4" s="17"/>
      <c r="S4" s="17"/>
      <c r="T4" s="37"/>
      <c r="U4" s="37"/>
      <c r="V4" s="25"/>
      <c r="W4" s="25"/>
      <c r="X4" s="25"/>
      <c r="Y4" s="25"/>
      <c r="Z4" s="25"/>
      <c r="AA4" s="25"/>
      <c r="AB4" s="25"/>
      <c r="AC4" s="25"/>
    </row>
    <row r="5" spans="1:29" ht="15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35"/>
      <c r="Q5" s="14"/>
      <c r="R5" s="14"/>
      <c r="S5" s="14"/>
      <c r="T5" s="14"/>
      <c r="U5" s="14"/>
      <c r="V5" s="25"/>
      <c r="W5" s="25"/>
      <c r="X5" s="25"/>
      <c r="Y5" s="25"/>
      <c r="Z5" s="25"/>
      <c r="AA5" s="25"/>
      <c r="AB5" s="25"/>
      <c r="AC5" s="25"/>
    </row>
    <row r="6" spans="1:29" ht="15.75" customHeight="1">
      <c r="A6" s="182" t="s">
        <v>0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8"/>
      <c r="W6" s="18"/>
      <c r="X6" s="18"/>
      <c r="Y6" s="18"/>
      <c r="Z6" s="18"/>
      <c r="AA6" s="18"/>
      <c r="AB6" s="28"/>
      <c r="AC6" s="28"/>
    </row>
    <row r="7" spans="1:29" ht="15.75" customHeight="1">
      <c r="A7" s="183" t="s">
        <v>1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9"/>
      <c r="W7" s="19"/>
      <c r="X7" s="19"/>
      <c r="Y7" s="19"/>
      <c r="Z7" s="19"/>
      <c r="AA7" s="19"/>
      <c r="AB7" s="28"/>
      <c r="AC7" s="28"/>
    </row>
    <row r="8" spans="1:29" ht="15.75" customHeight="1">
      <c r="A8" s="183" t="s">
        <v>57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20"/>
      <c r="W8" s="20"/>
      <c r="X8" s="20"/>
      <c r="Y8" s="20"/>
      <c r="Z8" s="20"/>
      <c r="AA8" s="20"/>
      <c r="AB8" s="28"/>
      <c r="AC8" s="28"/>
    </row>
    <row r="9" spans="1:2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30" t="s">
        <v>2</v>
      </c>
      <c r="Q9" s="30"/>
      <c r="R9" s="30"/>
      <c r="S9" s="30"/>
      <c r="T9" s="30"/>
      <c r="U9" s="30"/>
      <c r="V9" s="30"/>
      <c r="W9" s="30"/>
      <c r="X9" s="30"/>
      <c r="AB9" s="28"/>
      <c r="AC9" s="28"/>
    </row>
    <row r="10" spans="1:29" ht="15.75" customHeight="1">
      <c r="A10" s="40" t="s">
        <v>63</v>
      </c>
      <c r="B10" s="41"/>
      <c r="C10" s="184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85"/>
      <c r="Q10" s="169"/>
      <c r="R10" s="169"/>
      <c r="S10" s="169"/>
      <c r="T10" s="169"/>
      <c r="U10" s="170"/>
      <c r="V10" s="25"/>
      <c r="W10" s="25"/>
      <c r="X10" s="25"/>
      <c r="Y10" s="25"/>
      <c r="Z10" s="25"/>
      <c r="AA10" s="25"/>
      <c r="AB10" s="25"/>
      <c r="AC10" s="25"/>
    </row>
    <row r="11" spans="1:29" ht="15.75" customHeight="1">
      <c r="A11" s="40" t="s">
        <v>61</v>
      </c>
      <c r="B11" s="41"/>
      <c r="C11" s="175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76"/>
      <c r="Q11" s="154"/>
      <c r="R11" s="154"/>
      <c r="S11" s="154"/>
      <c r="T11" s="154"/>
      <c r="U11" s="177"/>
      <c r="V11" s="25"/>
      <c r="W11" s="25"/>
      <c r="X11" s="25"/>
      <c r="Y11" s="25"/>
      <c r="Z11" s="25"/>
      <c r="AA11" s="25"/>
      <c r="AB11" s="25"/>
      <c r="AC11" s="25"/>
    </row>
    <row r="12" spans="1:29" ht="32.25" customHeight="1">
      <c r="A12" s="150" t="s">
        <v>3</v>
      </c>
      <c r="B12" s="156" t="s">
        <v>4</v>
      </c>
      <c r="C12" s="178" t="s">
        <v>64</v>
      </c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80"/>
      <c r="S12" s="159" t="s">
        <v>5</v>
      </c>
      <c r="T12" s="159" t="s">
        <v>6</v>
      </c>
      <c r="U12" s="159" t="s">
        <v>7</v>
      </c>
      <c r="V12" s="25"/>
      <c r="W12" s="25"/>
      <c r="X12" s="25"/>
      <c r="Y12" s="25"/>
      <c r="Z12" s="25"/>
      <c r="AA12" s="25"/>
      <c r="AB12" s="25"/>
      <c r="AC12" s="25"/>
    </row>
    <row r="13" spans="1:29" ht="37.5" customHeight="1">
      <c r="A13" s="151"/>
      <c r="B13" s="157"/>
      <c r="C13" s="181" t="s">
        <v>8</v>
      </c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0"/>
      <c r="P13" s="171" t="s">
        <v>9</v>
      </c>
      <c r="Q13" s="169"/>
      <c r="R13" s="172"/>
      <c r="S13" s="160"/>
      <c r="T13" s="160"/>
      <c r="U13" s="160"/>
      <c r="V13" s="25"/>
      <c r="W13" s="25"/>
      <c r="X13" s="25"/>
      <c r="Y13" s="25"/>
      <c r="Z13" s="25"/>
      <c r="AA13" s="25"/>
      <c r="AB13" s="25"/>
      <c r="AC13" s="25"/>
    </row>
    <row r="14" spans="1:29" ht="47.25" customHeight="1">
      <c r="A14" s="151"/>
      <c r="B14" s="157"/>
      <c r="C14" s="168" t="s">
        <v>10</v>
      </c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70"/>
      <c r="P14" s="171" t="s">
        <v>11</v>
      </c>
      <c r="Q14" s="169"/>
      <c r="R14" s="172"/>
      <c r="S14" s="160"/>
      <c r="T14" s="160"/>
      <c r="U14" s="160"/>
      <c r="V14" s="25"/>
      <c r="W14" s="25"/>
      <c r="X14" s="25"/>
      <c r="Y14" s="25"/>
      <c r="Z14" s="25"/>
      <c r="AA14" s="25"/>
      <c r="AB14" s="25"/>
      <c r="AC14" s="25"/>
    </row>
    <row r="15" spans="1:29" ht="47.25" customHeight="1">
      <c r="A15" s="151"/>
      <c r="B15" s="157"/>
      <c r="C15" s="58"/>
      <c r="D15" s="59"/>
      <c r="E15" s="59"/>
      <c r="F15" s="51"/>
      <c r="G15" s="51"/>
      <c r="H15" s="51"/>
      <c r="I15" s="51"/>
      <c r="J15" s="51"/>
      <c r="K15" s="51"/>
      <c r="L15" s="51"/>
      <c r="M15" s="51" t="s">
        <v>12</v>
      </c>
      <c r="N15" s="51" t="s">
        <v>13</v>
      </c>
      <c r="O15" s="51" t="s">
        <v>14</v>
      </c>
      <c r="P15" s="51" t="s">
        <v>12</v>
      </c>
      <c r="Q15" s="51" t="s">
        <v>13</v>
      </c>
      <c r="R15" s="60" t="s">
        <v>14</v>
      </c>
      <c r="S15" s="160"/>
      <c r="T15" s="160"/>
      <c r="U15" s="160"/>
      <c r="V15" s="25"/>
      <c r="W15" s="25"/>
      <c r="X15" s="25"/>
      <c r="Y15" s="25"/>
      <c r="Z15" s="25"/>
      <c r="AA15" s="25"/>
      <c r="AB15" s="25"/>
      <c r="AC15" s="25"/>
    </row>
    <row r="16" spans="1:29" ht="90" customHeight="1" thickBot="1">
      <c r="A16" s="152"/>
      <c r="B16" s="158"/>
      <c r="C16" s="61"/>
      <c r="D16" s="52"/>
      <c r="E16" s="52"/>
      <c r="F16" s="52"/>
      <c r="G16" s="52"/>
      <c r="H16" s="52"/>
      <c r="I16" s="52"/>
      <c r="J16" s="52"/>
      <c r="K16" s="52"/>
      <c r="L16" s="52"/>
      <c r="M16" s="52">
        <f t="shared" ref="M16:M57" si="0">SUM(C16:L16)</f>
        <v>0</v>
      </c>
      <c r="N16" s="52" t="s">
        <v>15</v>
      </c>
      <c r="O16" s="62">
        <v>0.6</v>
      </c>
      <c r="P16" s="52"/>
      <c r="Q16" s="52" t="s">
        <v>15</v>
      </c>
      <c r="R16" s="63">
        <v>0.4</v>
      </c>
      <c r="S16" s="161"/>
      <c r="T16" s="161"/>
      <c r="U16" s="161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82"/>
      <c r="B17" s="82"/>
      <c r="C17" s="65"/>
      <c r="D17" s="66"/>
      <c r="E17" s="66"/>
      <c r="F17" s="67"/>
      <c r="G17" s="67"/>
      <c r="H17" s="67"/>
      <c r="I17" s="67"/>
      <c r="J17" s="67"/>
      <c r="K17" s="67"/>
      <c r="L17" s="67"/>
      <c r="M17" s="67">
        <f t="shared" si="0"/>
        <v>0</v>
      </c>
      <c r="N17" s="68" t="e">
        <f t="shared" ref="N17:N57" si="1">IF(OR(M17="",$O$16=""),"",IF(M17&gt;=$M$16/2,ROUND(100+(50*(M17-$M$16))/$M$16,0),ROUND(75+(20*(M17-$M$16/2)/$M$16),0)))</f>
        <v>#DIV/0!</v>
      </c>
      <c r="O17" s="69">
        <f t="shared" ref="O17:O57" si="2">IFERROR((N17*$O$16),0)</f>
        <v>0</v>
      </c>
      <c r="P17" s="53"/>
      <c r="Q17" s="68" t="str">
        <f t="shared" ref="Q17:Q56" si="3">IF(OR(P17="",$P$16=""),"",IF(P17&gt;=$P$16/2,ROUND(100+(50*(P17-$P$16))/$P$16,0),ROUND(75+(20*(P17-$P$16/2)/$P$16),0)))</f>
        <v/>
      </c>
      <c r="R17" s="69" t="str">
        <f t="shared" ref="R17:R56" si="4">IFERROR((Q17*0.4)," ")</f>
        <v xml:space="preserve"> </v>
      </c>
      <c r="S17" s="71" t="str">
        <f t="shared" ref="S17:S56" si="5">IFERROR((O17+R17),"")</f>
        <v/>
      </c>
      <c r="T17" s="72" t="str">
        <f t="shared" ref="T17:T56" si="6">IF(S17="","",ROUND(S17,0))</f>
        <v/>
      </c>
      <c r="U17" s="73" t="str">
        <f t="shared" ref="U17:U56" si="7">IF((T17&lt;=74),"F","P")</f>
        <v>P</v>
      </c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82"/>
      <c r="B18" s="82"/>
      <c r="C18" s="74"/>
      <c r="D18" s="75"/>
      <c r="E18" s="75"/>
      <c r="F18" s="76"/>
      <c r="G18" s="76"/>
      <c r="H18" s="76"/>
      <c r="I18" s="76"/>
      <c r="J18" s="76"/>
      <c r="K18" s="76"/>
      <c r="L18" s="76"/>
      <c r="M18" s="67">
        <f t="shared" si="0"/>
        <v>0</v>
      </c>
      <c r="N18" s="77" t="e">
        <f t="shared" si="1"/>
        <v>#DIV/0!</v>
      </c>
      <c r="O18" s="78">
        <f t="shared" si="2"/>
        <v>0</v>
      </c>
      <c r="P18" s="44"/>
      <c r="Q18" s="77" t="str">
        <f t="shared" si="3"/>
        <v/>
      </c>
      <c r="R18" s="78" t="str">
        <f t="shared" si="4"/>
        <v xml:space="preserve"> </v>
      </c>
      <c r="S18" s="71" t="str">
        <f t="shared" si="5"/>
        <v/>
      </c>
      <c r="T18" s="72" t="str">
        <f t="shared" si="6"/>
        <v/>
      </c>
      <c r="U18" s="73" t="str">
        <f t="shared" si="7"/>
        <v>P</v>
      </c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82"/>
      <c r="B19" s="82"/>
      <c r="C19" s="74"/>
      <c r="D19" s="75"/>
      <c r="E19" s="75"/>
      <c r="F19" s="76"/>
      <c r="G19" s="76"/>
      <c r="H19" s="76"/>
      <c r="I19" s="76"/>
      <c r="J19" s="76"/>
      <c r="K19" s="76"/>
      <c r="L19" s="76"/>
      <c r="M19" s="67">
        <f t="shared" si="0"/>
        <v>0</v>
      </c>
      <c r="N19" s="77" t="e">
        <f t="shared" si="1"/>
        <v>#DIV/0!</v>
      </c>
      <c r="O19" s="78">
        <f t="shared" si="2"/>
        <v>0</v>
      </c>
      <c r="P19" s="44"/>
      <c r="Q19" s="77" t="str">
        <f t="shared" si="3"/>
        <v/>
      </c>
      <c r="R19" s="78" t="str">
        <f t="shared" si="4"/>
        <v xml:space="preserve"> </v>
      </c>
      <c r="S19" s="71" t="str">
        <f t="shared" si="5"/>
        <v/>
      </c>
      <c r="T19" s="72" t="str">
        <f t="shared" si="6"/>
        <v/>
      </c>
      <c r="U19" s="73" t="str">
        <f t="shared" si="7"/>
        <v>P</v>
      </c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82"/>
      <c r="B20" s="82"/>
      <c r="C20" s="74"/>
      <c r="D20" s="75"/>
      <c r="E20" s="75"/>
      <c r="F20" s="76"/>
      <c r="G20" s="76"/>
      <c r="H20" s="76"/>
      <c r="I20" s="76"/>
      <c r="J20" s="76"/>
      <c r="K20" s="76"/>
      <c r="L20" s="76"/>
      <c r="M20" s="67">
        <f t="shared" si="0"/>
        <v>0</v>
      </c>
      <c r="N20" s="77" t="e">
        <f t="shared" si="1"/>
        <v>#DIV/0!</v>
      </c>
      <c r="O20" s="78">
        <f t="shared" si="2"/>
        <v>0</v>
      </c>
      <c r="P20" s="44"/>
      <c r="Q20" s="77" t="str">
        <f t="shared" si="3"/>
        <v/>
      </c>
      <c r="R20" s="78" t="str">
        <f t="shared" si="4"/>
        <v xml:space="preserve"> </v>
      </c>
      <c r="S20" s="71" t="str">
        <f t="shared" si="5"/>
        <v/>
      </c>
      <c r="T20" s="72" t="str">
        <f t="shared" si="6"/>
        <v/>
      </c>
      <c r="U20" s="73" t="str">
        <f t="shared" si="7"/>
        <v>P</v>
      </c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82"/>
      <c r="B21" s="82"/>
      <c r="C21" s="74"/>
      <c r="D21" s="75"/>
      <c r="E21" s="75"/>
      <c r="F21" s="76"/>
      <c r="G21" s="76"/>
      <c r="H21" s="76"/>
      <c r="I21" s="76"/>
      <c r="J21" s="76"/>
      <c r="K21" s="76"/>
      <c r="L21" s="76"/>
      <c r="M21" s="67">
        <f t="shared" si="0"/>
        <v>0</v>
      </c>
      <c r="N21" s="77" t="e">
        <f t="shared" si="1"/>
        <v>#DIV/0!</v>
      </c>
      <c r="O21" s="78">
        <f t="shared" si="2"/>
        <v>0</v>
      </c>
      <c r="P21" s="44"/>
      <c r="Q21" s="77" t="str">
        <f t="shared" si="3"/>
        <v/>
      </c>
      <c r="R21" s="78" t="str">
        <f t="shared" si="4"/>
        <v xml:space="preserve"> </v>
      </c>
      <c r="S21" s="71" t="str">
        <f t="shared" si="5"/>
        <v/>
      </c>
      <c r="T21" s="72" t="str">
        <f t="shared" si="6"/>
        <v/>
      </c>
      <c r="U21" s="73" t="str">
        <f t="shared" si="7"/>
        <v>P</v>
      </c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82"/>
      <c r="B22" s="82"/>
      <c r="C22" s="74"/>
      <c r="D22" s="75"/>
      <c r="E22" s="75"/>
      <c r="F22" s="76"/>
      <c r="G22" s="76"/>
      <c r="H22" s="76"/>
      <c r="I22" s="76"/>
      <c r="J22" s="76"/>
      <c r="K22" s="76"/>
      <c r="L22" s="76"/>
      <c r="M22" s="67">
        <f t="shared" si="0"/>
        <v>0</v>
      </c>
      <c r="N22" s="77" t="e">
        <f t="shared" si="1"/>
        <v>#DIV/0!</v>
      </c>
      <c r="O22" s="78">
        <f t="shared" si="2"/>
        <v>0</v>
      </c>
      <c r="P22" s="44"/>
      <c r="Q22" s="77" t="str">
        <f t="shared" si="3"/>
        <v/>
      </c>
      <c r="R22" s="78" t="str">
        <f t="shared" si="4"/>
        <v xml:space="preserve"> </v>
      </c>
      <c r="S22" s="71" t="str">
        <f t="shared" si="5"/>
        <v/>
      </c>
      <c r="T22" s="72" t="str">
        <f t="shared" si="6"/>
        <v/>
      </c>
      <c r="U22" s="73" t="str">
        <f t="shared" si="7"/>
        <v>P</v>
      </c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82"/>
      <c r="B23" s="82"/>
      <c r="C23" s="74"/>
      <c r="D23" s="75"/>
      <c r="E23" s="75"/>
      <c r="F23" s="76"/>
      <c r="G23" s="76"/>
      <c r="H23" s="76"/>
      <c r="I23" s="76"/>
      <c r="J23" s="76"/>
      <c r="K23" s="76"/>
      <c r="L23" s="76"/>
      <c r="M23" s="67">
        <f t="shared" si="0"/>
        <v>0</v>
      </c>
      <c r="N23" s="77" t="e">
        <f t="shared" si="1"/>
        <v>#DIV/0!</v>
      </c>
      <c r="O23" s="78">
        <f t="shared" si="2"/>
        <v>0</v>
      </c>
      <c r="P23" s="44"/>
      <c r="Q23" s="77" t="str">
        <f t="shared" si="3"/>
        <v/>
      </c>
      <c r="R23" s="78" t="str">
        <f t="shared" si="4"/>
        <v xml:space="preserve"> </v>
      </c>
      <c r="S23" s="71" t="str">
        <f t="shared" si="5"/>
        <v/>
      </c>
      <c r="T23" s="72" t="str">
        <f t="shared" si="6"/>
        <v/>
      </c>
      <c r="U23" s="73" t="str">
        <f t="shared" si="7"/>
        <v>P</v>
      </c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82"/>
      <c r="B24" s="82"/>
      <c r="C24" s="74"/>
      <c r="D24" s="75"/>
      <c r="E24" s="75"/>
      <c r="F24" s="76"/>
      <c r="G24" s="76"/>
      <c r="H24" s="76"/>
      <c r="I24" s="76"/>
      <c r="J24" s="76"/>
      <c r="K24" s="76"/>
      <c r="L24" s="76"/>
      <c r="M24" s="67">
        <f t="shared" si="0"/>
        <v>0</v>
      </c>
      <c r="N24" s="77" t="e">
        <f t="shared" si="1"/>
        <v>#DIV/0!</v>
      </c>
      <c r="O24" s="78">
        <f t="shared" si="2"/>
        <v>0</v>
      </c>
      <c r="P24" s="44"/>
      <c r="Q24" s="77" t="str">
        <f t="shared" si="3"/>
        <v/>
      </c>
      <c r="R24" s="78" t="str">
        <f t="shared" si="4"/>
        <v xml:space="preserve"> </v>
      </c>
      <c r="S24" s="71" t="str">
        <f t="shared" si="5"/>
        <v/>
      </c>
      <c r="T24" s="72" t="str">
        <f t="shared" si="6"/>
        <v/>
      </c>
      <c r="U24" s="73" t="str">
        <f t="shared" si="7"/>
        <v>P</v>
      </c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82"/>
      <c r="B25" s="82"/>
      <c r="C25" s="74"/>
      <c r="D25" s="75"/>
      <c r="E25" s="75"/>
      <c r="F25" s="76"/>
      <c r="G25" s="76"/>
      <c r="H25" s="76"/>
      <c r="I25" s="76"/>
      <c r="J25" s="76"/>
      <c r="K25" s="76"/>
      <c r="L25" s="76"/>
      <c r="M25" s="67">
        <f t="shared" si="0"/>
        <v>0</v>
      </c>
      <c r="N25" s="77" t="e">
        <f t="shared" si="1"/>
        <v>#DIV/0!</v>
      </c>
      <c r="O25" s="78">
        <f t="shared" si="2"/>
        <v>0</v>
      </c>
      <c r="P25" s="44"/>
      <c r="Q25" s="77" t="str">
        <f t="shared" si="3"/>
        <v/>
      </c>
      <c r="R25" s="78" t="str">
        <f t="shared" si="4"/>
        <v xml:space="preserve"> </v>
      </c>
      <c r="S25" s="71" t="str">
        <f t="shared" si="5"/>
        <v/>
      </c>
      <c r="T25" s="72" t="str">
        <f t="shared" si="6"/>
        <v/>
      </c>
      <c r="U25" s="73" t="str">
        <f t="shared" si="7"/>
        <v>P</v>
      </c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82"/>
      <c r="B26" s="82"/>
      <c r="C26" s="74"/>
      <c r="D26" s="75"/>
      <c r="E26" s="75"/>
      <c r="F26" s="76"/>
      <c r="G26" s="76"/>
      <c r="H26" s="76"/>
      <c r="I26" s="76"/>
      <c r="J26" s="76"/>
      <c r="K26" s="76"/>
      <c r="L26" s="76"/>
      <c r="M26" s="67">
        <f t="shared" si="0"/>
        <v>0</v>
      </c>
      <c r="N26" s="77" t="e">
        <f t="shared" si="1"/>
        <v>#DIV/0!</v>
      </c>
      <c r="O26" s="78">
        <f t="shared" si="2"/>
        <v>0</v>
      </c>
      <c r="P26" s="44"/>
      <c r="Q26" s="77" t="str">
        <f t="shared" si="3"/>
        <v/>
      </c>
      <c r="R26" s="78" t="str">
        <f t="shared" si="4"/>
        <v xml:space="preserve"> </v>
      </c>
      <c r="S26" s="71" t="str">
        <f t="shared" si="5"/>
        <v/>
      </c>
      <c r="T26" s="72" t="str">
        <f t="shared" si="6"/>
        <v/>
      </c>
      <c r="U26" s="73" t="str">
        <f t="shared" si="7"/>
        <v>P</v>
      </c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82"/>
      <c r="B27" s="82"/>
      <c r="C27" s="74"/>
      <c r="D27" s="75"/>
      <c r="E27" s="75"/>
      <c r="F27" s="76"/>
      <c r="G27" s="76"/>
      <c r="H27" s="76"/>
      <c r="I27" s="76"/>
      <c r="J27" s="76"/>
      <c r="K27" s="76"/>
      <c r="L27" s="76"/>
      <c r="M27" s="67">
        <f t="shared" si="0"/>
        <v>0</v>
      </c>
      <c r="N27" s="77" t="e">
        <f t="shared" si="1"/>
        <v>#DIV/0!</v>
      </c>
      <c r="O27" s="78">
        <f t="shared" si="2"/>
        <v>0</v>
      </c>
      <c r="P27" s="44"/>
      <c r="Q27" s="77" t="str">
        <f t="shared" si="3"/>
        <v/>
      </c>
      <c r="R27" s="78" t="str">
        <f t="shared" si="4"/>
        <v xml:space="preserve"> </v>
      </c>
      <c r="S27" s="71" t="str">
        <f t="shared" si="5"/>
        <v/>
      </c>
      <c r="T27" s="72" t="str">
        <f t="shared" si="6"/>
        <v/>
      </c>
      <c r="U27" s="73" t="str">
        <f t="shared" si="7"/>
        <v>P</v>
      </c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82"/>
      <c r="B28" s="82"/>
      <c r="C28" s="74"/>
      <c r="D28" s="75"/>
      <c r="E28" s="75"/>
      <c r="F28" s="76"/>
      <c r="G28" s="76"/>
      <c r="H28" s="76"/>
      <c r="I28" s="76"/>
      <c r="J28" s="76"/>
      <c r="K28" s="76"/>
      <c r="L28" s="76"/>
      <c r="M28" s="67">
        <f t="shared" si="0"/>
        <v>0</v>
      </c>
      <c r="N28" s="77" t="e">
        <f t="shared" si="1"/>
        <v>#DIV/0!</v>
      </c>
      <c r="O28" s="78">
        <f t="shared" si="2"/>
        <v>0</v>
      </c>
      <c r="P28" s="44"/>
      <c r="Q28" s="77" t="str">
        <f t="shared" si="3"/>
        <v/>
      </c>
      <c r="R28" s="78" t="str">
        <f t="shared" si="4"/>
        <v xml:space="preserve"> </v>
      </c>
      <c r="S28" s="71" t="str">
        <f t="shared" si="5"/>
        <v/>
      </c>
      <c r="T28" s="72" t="str">
        <f t="shared" si="6"/>
        <v/>
      </c>
      <c r="U28" s="73" t="str">
        <f t="shared" si="7"/>
        <v>P</v>
      </c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82"/>
      <c r="B29" s="82"/>
      <c r="C29" s="74"/>
      <c r="D29" s="75"/>
      <c r="E29" s="75"/>
      <c r="F29" s="76"/>
      <c r="G29" s="76"/>
      <c r="H29" s="76"/>
      <c r="I29" s="76"/>
      <c r="J29" s="76"/>
      <c r="K29" s="76"/>
      <c r="L29" s="76"/>
      <c r="M29" s="67">
        <f t="shared" si="0"/>
        <v>0</v>
      </c>
      <c r="N29" s="77" t="e">
        <f t="shared" si="1"/>
        <v>#DIV/0!</v>
      </c>
      <c r="O29" s="78">
        <f t="shared" si="2"/>
        <v>0</v>
      </c>
      <c r="P29" s="44"/>
      <c r="Q29" s="77" t="str">
        <f t="shared" si="3"/>
        <v/>
      </c>
      <c r="R29" s="78" t="str">
        <f t="shared" si="4"/>
        <v xml:space="preserve"> </v>
      </c>
      <c r="S29" s="71" t="str">
        <f t="shared" si="5"/>
        <v/>
      </c>
      <c r="T29" s="72" t="str">
        <f t="shared" si="6"/>
        <v/>
      </c>
      <c r="U29" s="73" t="str">
        <f t="shared" si="7"/>
        <v>P</v>
      </c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82"/>
      <c r="B30" s="82"/>
      <c r="C30" s="74"/>
      <c r="D30" s="75"/>
      <c r="E30" s="75"/>
      <c r="F30" s="76"/>
      <c r="G30" s="76"/>
      <c r="H30" s="76"/>
      <c r="I30" s="76"/>
      <c r="J30" s="76"/>
      <c r="K30" s="76"/>
      <c r="L30" s="76"/>
      <c r="M30" s="67">
        <f t="shared" si="0"/>
        <v>0</v>
      </c>
      <c r="N30" s="77" t="e">
        <f t="shared" si="1"/>
        <v>#DIV/0!</v>
      </c>
      <c r="O30" s="78">
        <f t="shared" si="2"/>
        <v>0</v>
      </c>
      <c r="P30" s="44"/>
      <c r="Q30" s="77" t="str">
        <f t="shared" si="3"/>
        <v/>
      </c>
      <c r="R30" s="78" t="str">
        <f t="shared" si="4"/>
        <v xml:space="preserve"> </v>
      </c>
      <c r="S30" s="71" t="str">
        <f t="shared" si="5"/>
        <v/>
      </c>
      <c r="T30" s="72" t="str">
        <f t="shared" si="6"/>
        <v/>
      </c>
      <c r="U30" s="73" t="str">
        <f t="shared" si="7"/>
        <v>P</v>
      </c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82"/>
      <c r="B31" s="82"/>
      <c r="C31" s="74"/>
      <c r="D31" s="75"/>
      <c r="E31" s="75"/>
      <c r="F31" s="76"/>
      <c r="G31" s="76"/>
      <c r="H31" s="76"/>
      <c r="I31" s="76"/>
      <c r="J31" s="76"/>
      <c r="K31" s="76"/>
      <c r="L31" s="76"/>
      <c r="M31" s="67">
        <f t="shared" si="0"/>
        <v>0</v>
      </c>
      <c r="N31" s="77" t="e">
        <f t="shared" si="1"/>
        <v>#DIV/0!</v>
      </c>
      <c r="O31" s="78">
        <f t="shared" si="2"/>
        <v>0</v>
      </c>
      <c r="P31" s="44"/>
      <c r="Q31" s="77" t="str">
        <f t="shared" si="3"/>
        <v/>
      </c>
      <c r="R31" s="78" t="str">
        <f t="shared" si="4"/>
        <v xml:space="preserve"> </v>
      </c>
      <c r="S31" s="71" t="str">
        <f t="shared" si="5"/>
        <v/>
      </c>
      <c r="T31" s="72" t="str">
        <f t="shared" si="6"/>
        <v/>
      </c>
      <c r="U31" s="73" t="str">
        <f t="shared" si="7"/>
        <v>P</v>
      </c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82"/>
      <c r="B32" s="82"/>
      <c r="C32" s="74"/>
      <c r="D32" s="75"/>
      <c r="E32" s="75"/>
      <c r="F32" s="76"/>
      <c r="G32" s="76"/>
      <c r="H32" s="76"/>
      <c r="I32" s="76"/>
      <c r="J32" s="76"/>
      <c r="K32" s="76"/>
      <c r="L32" s="76"/>
      <c r="M32" s="67">
        <f t="shared" si="0"/>
        <v>0</v>
      </c>
      <c r="N32" s="77" t="e">
        <f t="shared" si="1"/>
        <v>#DIV/0!</v>
      </c>
      <c r="O32" s="78">
        <f t="shared" si="2"/>
        <v>0</v>
      </c>
      <c r="P32" s="44"/>
      <c r="Q32" s="77" t="str">
        <f t="shared" si="3"/>
        <v/>
      </c>
      <c r="R32" s="78" t="str">
        <f t="shared" si="4"/>
        <v xml:space="preserve"> </v>
      </c>
      <c r="S32" s="71" t="str">
        <f t="shared" si="5"/>
        <v/>
      </c>
      <c r="T32" s="72" t="str">
        <f t="shared" si="6"/>
        <v/>
      </c>
      <c r="U32" s="73" t="str">
        <f t="shared" si="7"/>
        <v>P</v>
      </c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82"/>
      <c r="B33" s="82"/>
      <c r="C33" s="74"/>
      <c r="D33" s="75"/>
      <c r="E33" s="75"/>
      <c r="F33" s="76"/>
      <c r="G33" s="76"/>
      <c r="H33" s="76"/>
      <c r="I33" s="76"/>
      <c r="J33" s="76"/>
      <c r="K33" s="76"/>
      <c r="L33" s="76"/>
      <c r="M33" s="67">
        <f t="shared" si="0"/>
        <v>0</v>
      </c>
      <c r="N33" s="77" t="e">
        <f t="shared" si="1"/>
        <v>#DIV/0!</v>
      </c>
      <c r="O33" s="78">
        <f t="shared" si="2"/>
        <v>0</v>
      </c>
      <c r="P33" s="44"/>
      <c r="Q33" s="77" t="str">
        <f t="shared" si="3"/>
        <v/>
      </c>
      <c r="R33" s="78" t="str">
        <f t="shared" si="4"/>
        <v xml:space="preserve"> </v>
      </c>
      <c r="S33" s="71" t="str">
        <f t="shared" si="5"/>
        <v/>
      </c>
      <c r="T33" s="72" t="str">
        <f t="shared" si="6"/>
        <v/>
      </c>
      <c r="U33" s="73" t="str">
        <f t="shared" si="7"/>
        <v>P</v>
      </c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82"/>
      <c r="B34" s="82"/>
      <c r="C34" s="74"/>
      <c r="D34" s="75"/>
      <c r="E34" s="75"/>
      <c r="F34" s="76"/>
      <c r="G34" s="76"/>
      <c r="H34" s="76"/>
      <c r="I34" s="76"/>
      <c r="J34" s="76"/>
      <c r="K34" s="76"/>
      <c r="L34" s="76"/>
      <c r="M34" s="67">
        <f t="shared" si="0"/>
        <v>0</v>
      </c>
      <c r="N34" s="77" t="e">
        <f t="shared" si="1"/>
        <v>#DIV/0!</v>
      </c>
      <c r="O34" s="78">
        <f t="shared" si="2"/>
        <v>0</v>
      </c>
      <c r="P34" s="44"/>
      <c r="Q34" s="77" t="str">
        <f t="shared" si="3"/>
        <v/>
      </c>
      <c r="R34" s="78" t="str">
        <f t="shared" si="4"/>
        <v xml:space="preserve"> </v>
      </c>
      <c r="S34" s="71" t="str">
        <f t="shared" si="5"/>
        <v/>
      </c>
      <c r="T34" s="72" t="str">
        <f t="shared" si="6"/>
        <v/>
      </c>
      <c r="U34" s="73" t="str">
        <f t="shared" si="7"/>
        <v>P</v>
      </c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82"/>
      <c r="B35" s="82"/>
      <c r="C35" s="74"/>
      <c r="D35" s="75"/>
      <c r="E35" s="75"/>
      <c r="F35" s="76"/>
      <c r="G35" s="76"/>
      <c r="H35" s="76"/>
      <c r="I35" s="76"/>
      <c r="J35" s="76"/>
      <c r="K35" s="76"/>
      <c r="L35" s="76"/>
      <c r="M35" s="67">
        <f t="shared" si="0"/>
        <v>0</v>
      </c>
      <c r="N35" s="77" t="e">
        <f t="shared" si="1"/>
        <v>#DIV/0!</v>
      </c>
      <c r="O35" s="78">
        <f t="shared" si="2"/>
        <v>0</v>
      </c>
      <c r="P35" s="44"/>
      <c r="Q35" s="77" t="str">
        <f t="shared" si="3"/>
        <v/>
      </c>
      <c r="R35" s="78" t="str">
        <f t="shared" si="4"/>
        <v xml:space="preserve"> </v>
      </c>
      <c r="S35" s="71" t="str">
        <f t="shared" si="5"/>
        <v/>
      </c>
      <c r="T35" s="72" t="str">
        <f t="shared" si="6"/>
        <v/>
      </c>
      <c r="U35" s="73" t="str">
        <f t="shared" si="7"/>
        <v>P</v>
      </c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82"/>
      <c r="B36" s="82"/>
      <c r="C36" s="74"/>
      <c r="D36" s="75"/>
      <c r="E36" s="75"/>
      <c r="F36" s="76"/>
      <c r="G36" s="76"/>
      <c r="H36" s="76"/>
      <c r="I36" s="76"/>
      <c r="J36" s="76"/>
      <c r="K36" s="76"/>
      <c r="L36" s="76"/>
      <c r="M36" s="67">
        <f t="shared" si="0"/>
        <v>0</v>
      </c>
      <c r="N36" s="77" t="e">
        <f t="shared" si="1"/>
        <v>#DIV/0!</v>
      </c>
      <c r="O36" s="78">
        <f t="shared" si="2"/>
        <v>0</v>
      </c>
      <c r="P36" s="44"/>
      <c r="Q36" s="77" t="str">
        <f t="shared" si="3"/>
        <v/>
      </c>
      <c r="R36" s="78" t="str">
        <f t="shared" si="4"/>
        <v xml:space="preserve"> </v>
      </c>
      <c r="S36" s="71" t="str">
        <f t="shared" si="5"/>
        <v/>
      </c>
      <c r="T36" s="72" t="str">
        <f t="shared" si="6"/>
        <v/>
      </c>
      <c r="U36" s="73" t="str">
        <f t="shared" si="7"/>
        <v>P</v>
      </c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82"/>
      <c r="B37" s="82"/>
      <c r="C37" s="74"/>
      <c r="D37" s="75"/>
      <c r="E37" s="75"/>
      <c r="F37" s="76"/>
      <c r="G37" s="76"/>
      <c r="H37" s="76"/>
      <c r="I37" s="76"/>
      <c r="J37" s="76"/>
      <c r="K37" s="76"/>
      <c r="L37" s="76"/>
      <c r="M37" s="67">
        <f t="shared" si="0"/>
        <v>0</v>
      </c>
      <c r="N37" s="77" t="e">
        <f t="shared" si="1"/>
        <v>#DIV/0!</v>
      </c>
      <c r="O37" s="78">
        <f t="shared" si="2"/>
        <v>0</v>
      </c>
      <c r="P37" s="44"/>
      <c r="Q37" s="77" t="str">
        <f t="shared" si="3"/>
        <v/>
      </c>
      <c r="R37" s="78" t="str">
        <f t="shared" si="4"/>
        <v xml:space="preserve"> </v>
      </c>
      <c r="S37" s="71" t="str">
        <f t="shared" si="5"/>
        <v/>
      </c>
      <c r="T37" s="72" t="str">
        <f t="shared" si="6"/>
        <v/>
      </c>
      <c r="U37" s="73" t="str">
        <f t="shared" si="7"/>
        <v>P</v>
      </c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82"/>
      <c r="B38" s="82"/>
      <c r="C38" s="74"/>
      <c r="D38" s="75"/>
      <c r="E38" s="75"/>
      <c r="F38" s="76"/>
      <c r="G38" s="76"/>
      <c r="H38" s="76"/>
      <c r="I38" s="76"/>
      <c r="J38" s="76"/>
      <c r="K38" s="76"/>
      <c r="L38" s="76"/>
      <c r="M38" s="67">
        <f t="shared" si="0"/>
        <v>0</v>
      </c>
      <c r="N38" s="77" t="e">
        <f t="shared" si="1"/>
        <v>#DIV/0!</v>
      </c>
      <c r="O38" s="78">
        <f t="shared" si="2"/>
        <v>0</v>
      </c>
      <c r="P38" s="44"/>
      <c r="Q38" s="77" t="str">
        <f t="shared" si="3"/>
        <v/>
      </c>
      <c r="R38" s="78" t="str">
        <f t="shared" si="4"/>
        <v xml:space="preserve"> </v>
      </c>
      <c r="S38" s="71" t="str">
        <f t="shared" si="5"/>
        <v/>
      </c>
      <c r="T38" s="72" t="str">
        <f t="shared" si="6"/>
        <v/>
      </c>
      <c r="U38" s="73" t="str">
        <f t="shared" si="7"/>
        <v>P</v>
      </c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82"/>
      <c r="B39" s="82"/>
      <c r="C39" s="74"/>
      <c r="D39" s="75"/>
      <c r="E39" s="75"/>
      <c r="F39" s="76"/>
      <c r="G39" s="76"/>
      <c r="H39" s="76"/>
      <c r="I39" s="76"/>
      <c r="J39" s="76"/>
      <c r="K39" s="76"/>
      <c r="L39" s="76"/>
      <c r="M39" s="67">
        <f t="shared" si="0"/>
        <v>0</v>
      </c>
      <c r="N39" s="77" t="e">
        <f t="shared" si="1"/>
        <v>#DIV/0!</v>
      </c>
      <c r="O39" s="78">
        <f t="shared" si="2"/>
        <v>0</v>
      </c>
      <c r="P39" s="44"/>
      <c r="Q39" s="77" t="str">
        <f t="shared" si="3"/>
        <v/>
      </c>
      <c r="R39" s="78" t="str">
        <f t="shared" si="4"/>
        <v xml:space="preserve"> </v>
      </c>
      <c r="S39" s="71" t="str">
        <f t="shared" si="5"/>
        <v/>
      </c>
      <c r="T39" s="72" t="str">
        <f t="shared" si="6"/>
        <v/>
      </c>
      <c r="U39" s="73" t="str">
        <f t="shared" si="7"/>
        <v>P</v>
      </c>
      <c r="V39" s="25"/>
      <c r="W39" s="25"/>
      <c r="X39" s="25"/>
      <c r="Y39" s="25"/>
      <c r="Z39" s="25"/>
      <c r="AA39" s="25"/>
      <c r="AB39" s="25"/>
      <c r="AC39" s="25"/>
    </row>
    <row r="40" spans="1:29" s="48" customFormat="1" ht="15.75" customHeight="1">
      <c r="A40" s="82"/>
      <c r="B40" s="82"/>
      <c r="C40" s="74"/>
      <c r="D40" s="75"/>
      <c r="E40" s="75"/>
      <c r="F40" s="76"/>
      <c r="G40" s="76"/>
      <c r="H40" s="76"/>
      <c r="I40" s="76"/>
      <c r="J40" s="76"/>
      <c r="K40" s="76"/>
      <c r="L40" s="76"/>
      <c r="M40" s="67">
        <f t="shared" si="0"/>
        <v>0</v>
      </c>
      <c r="N40" s="77" t="e">
        <f t="shared" si="1"/>
        <v>#DIV/0!</v>
      </c>
      <c r="O40" s="78">
        <f t="shared" si="2"/>
        <v>0</v>
      </c>
      <c r="P40" s="44"/>
      <c r="Q40" s="77" t="str">
        <f t="shared" si="3"/>
        <v/>
      </c>
      <c r="R40" s="78" t="str">
        <f t="shared" si="4"/>
        <v xml:space="preserve"> </v>
      </c>
      <c r="S40" s="71" t="str">
        <f t="shared" si="5"/>
        <v/>
      </c>
      <c r="T40" s="72" t="str">
        <f t="shared" si="6"/>
        <v/>
      </c>
      <c r="U40" s="73" t="str">
        <f t="shared" si="7"/>
        <v>P</v>
      </c>
      <c r="V40" s="47"/>
      <c r="W40" s="47"/>
      <c r="X40" s="47"/>
      <c r="Y40" s="47"/>
      <c r="Z40" s="47"/>
      <c r="AA40" s="47"/>
      <c r="AB40" s="47"/>
      <c r="AC40" s="47"/>
    </row>
    <row r="41" spans="1:29" ht="15.75" customHeight="1">
      <c r="A41" s="82"/>
      <c r="B41" s="82"/>
      <c r="C41" s="74"/>
      <c r="D41" s="75"/>
      <c r="E41" s="75"/>
      <c r="F41" s="76"/>
      <c r="G41" s="76"/>
      <c r="H41" s="76"/>
      <c r="I41" s="76"/>
      <c r="J41" s="76"/>
      <c r="K41" s="76"/>
      <c r="L41" s="76"/>
      <c r="M41" s="67">
        <f t="shared" si="0"/>
        <v>0</v>
      </c>
      <c r="N41" s="77" t="e">
        <f t="shared" si="1"/>
        <v>#DIV/0!</v>
      </c>
      <c r="O41" s="78">
        <f t="shared" si="2"/>
        <v>0</v>
      </c>
      <c r="P41" s="44"/>
      <c r="Q41" s="77" t="str">
        <f t="shared" si="3"/>
        <v/>
      </c>
      <c r="R41" s="78" t="str">
        <f t="shared" si="4"/>
        <v xml:space="preserve"> </v>
      </c>
      <c r="S41" s="71" t="str">
        <f t="shared" si="5"/>
        <v/>
      </c>
      <c r="T41" s="72" t="str">
        <f t="shared" si="6"/>
        <v/>
      </c>
      <c r="U41" s="73" t="str">
        <f t="shared" si="7"/>
        <v>P</v>
      </c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82"/>
      <c r="B42" s="82"/>
      <c r="C42" s="74"/>
      <c r="D42" s="75"/>
      <c r="E42" s="75"/>
      <c r="F42" s="76"/>
      <c r="G42" s="76"/>
      <c r="H42" s="76"/>
      <c r="I42" s="76"/>
      <c r="J42" s="76"/>
      <c r="K42" s="76"/>
      <c r="L42" s="76"/>
      <c r="M42" s="67">
        <f t="shared" si="0"/>
        <v>0</v>
      </c>
      <c r="N42" s="77" t="e">
        <f t="shared" si="1"/>
        <v>#DIV/0!</v>
      </c>
      <c r="O42" s="78">
        <f t="shared" si="2"/>
        <v>0</v>
      </c>
      <c r="P42" s="44"/>
      <c r="Q42" s="77" t="str">
        <f t="shared" si="3"/>
        <v/>
      </c>
      <c r="R42" s="78" t="str">
        <f t="shared" si="4"/>
        <v xml:space="preserve"> </v>
      </c>
      <c r="S42" s="71" t="str">
        <f t="shared" si="5"/>
        <v/>
      </c>
      <c r="T42" s="72" t="str">
        <f t="shared" si="6"/>
        <v/>
      </c>
      <c r="U42" s="73" t="str">
        <f t="shared" si="7"/>
        <v>P</v>
      </c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82"/>
      <c r="B43" s="82"/>
      <c r="C43" s="74"/>
      <c r="D43" s="75"/>
      <c r="E43" s="75"/>
      <c r="F43" s="76"/>
      <c r="G43" s="76"/>
      <c r="H43" s="76"/>
      <c r="I43" s="76"/>
      <c r="J43" s="76"/>
      <c r="K43" s="76"/>
      <c r="L43" s="76"/>
      <c r="M43" s="67">
        <f t="shared" si="0"/>
        <v>0</v>
      </c>
      <c r="N43" s="77" t="e">
        <f t="shared" si="1"/>
        <v>#DIV/0!</v>
      </c>
      <c r="O43" s="78">
        <f t="shared" si="2"/>
        <v>0</v>
      </c>
      <c r="P43" s="44"/>
      <c r="Q43" s="77" t="str">
        <f t="shared" si="3"/>
        <v/>
      </c>
      <c r="R43" s="78" t="str">
        <f t="shared" si="4"/>
        <v xml:space="preserve"> </v>
      </c>
      <c r="S43" s="71" t="str">
        <f t="shared" si="5"/>
        <v/>
      </c>
      <c r="T43" s="72" t="str">
        <f t="shared" si="6"/>
        <v/>
      </c>
      <c r="U43" s="73" t="str">
        <f t="shared" si="7"/>
        <v>P</v>
      </c>
      <c r="V43" s="25"/>
      <c r="W43" s="25"/>
      <c r="X43" s="25"/>
      <c r="Y43" s="25"/>
      <c r="Z43" s="25"/>
      <c r="AA43" s="25"/>
      <c r="AB43" s="25"/>
      <c r="AC43" s="25"/>
    </row>
    <row r="44" spans="1:29" s="46" customFormat="1" ht="15.75" customHeight="1">
      <c r="A44" s="82"/>
      <c r="B44" s="82"/>
      <c r="C44" s="74"/>
      <c r="D44" s="75"/>
      <c r="E44" s="75"/>
      <c r="F44" s="76"/>
      <c r="G44" s="76"/>
      <c r="H44" s="76"/>
      <c r="I44" s="76"/>
      <c r="J44" s="76"/>
      <c r="K44" s="76"/>
      <c r="L44" s="76"/>
      <c r="M44" s="67">
        <f t="shared" si="0"/>
        <v>0</v>
      </c>
      <c r="N44" s="77" t="e">
        <f t="shared" si="1"/>
        <v>#DIV/0!</v>
      </c>
      <c r="O44" s="78">
        <f t="shared" si="2"/>
        <v>0</v>
      </c>
      <c r="P44" s="44"/>
      <c r="Q44" s="77" t="str">
        <f t="shared" si="3"/>
        <v/>
      </c>
      <c r="R44" s="78" t="str">
        <f t="shared" si="4"/>
        <v xml:space="preserve"> </v>
      </c>
      <c r="S44" s="71" t="str">
        <f t="shared" si="5"/>
        <v/>
      </c>
      <c r="T44" s="72" t="str">
        <f t="shared" si="6"/>
        <v/>
      </c>
      <c r="U44" s="73" t="str">
        <f t="shared" si="7"/>
        <v>P</v>
      </c>
      <c r="V44" s="45"/>
      <c r="W44" s="45"/>
      <c r="X44" s="45"/>
      <c r="Y44" s="45"/>
      <c r="Z44" s="45"/>
      <c r="AA44" s="45"/>
      <c r="AB44" s="45"/>
      <c r="AC44" s="45"/>
    </row>
    <row r="45" spans="1:29" ht="15.75" customHeight="1">
      <c r="A45" s="82"/>
      <c r="B45" s="82"/>
      <c r="C45" s="74"/>
      <c r="D45" s="75"/>
      <c r="E45" s="75"/>
      <c r="F45" s="76"/>
      <c r="G45" s="76"/>
      <c r="H45" s="76"/>
      <c r="I45" s="76"/>
      <c r="J45" s="76"/>
      <c r="K45" s="76"/>
      <c r="L45" s="76"/>
      <c r="M45" s="67">
        <f t="shared" si="0"/>
        <v>0</v>
      </c>
      <c r="N45" s="77" t="e">
        <f t="shared" si="1"/>
        <v>#DIV/0!</v>
      </c>
      <c r="O45" s="78">
        <f t="shared" si="2"/>
        <v>0</v>
      </c>
      <c r="P45" s="44"/>
      <c r="Q45" s="77" t="str">
        <f t="shared" si="3"/>
        <v/>
      </c>
      <c r="R45" s="78" t="str">
        <f t="shared" si="4"/>
        <v xml:space="preserve"> </v>
      </c>
      <c r="S45" s="71" t="str">
        <f t="shared" si="5"/>
        <v/>
      </c>
      <c r="T45" s="72" t="str">
        <f t="shared" si="6"/>
        <v/>
      </c>
      <c r="U45" s="73" t="str">
        <f t="shared" si="7"/>
        <v>P</v>
      </c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82"/>
      <c r="B46" s="82"/>
      <c r="C46" s="74"/>
      <c r="D46" s="75"/>
      <c r="E46" s="75"/>
      <c r="F46" s="76"/>
      <c r="G46" s="76"/>
      <c r="H46" s="76"/>
      <c r="I46" s="76"/>
      <c r="J46" s="76"/>
      <c r="K46" s="76"/>
      <c r="L46" s="76"/>
      <c r="M46" s="67">
        <f t="shared" si="0"/>
        <v>0</v>
      </c>
      <c r="N46" s="77" t="e">
        <f t="shared" si="1"/>
        <v>#DIV/0!</v>
      </c>
      <c r="O46" s="78">
        <f t="shared" si="2"/>
        <v>0</v>
      </c>
      <c r="P46" s="44"/>
      <c r="Q46" s="77" t="str">
        <f t="shared" si="3"/>
        <v/>
      </c>
      <c r="R46" s="78" t="str">
        <f t="shared" si="4"/>
        <v xml:space="preserve"> </v>
      </c>
      <c r="S46" s="71" t="str">
        <f t="shared" si="5"/>
        <v/>
      </c>
      <c r="T46" s="72" t="str">
        <f t="shared" si="6"/>
        <v/>
      </c>
      <c r="U46" s="73" t="str">
        <f t="shared" si="7"/>
        <v>P</v>
      </c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82"/>
      <c r="B47" s="82"/>
      <c r="C47" s="74"/>
      <c r="D47" s="75"/>
      <c r="E47" s="75"/>
      <c r="F47" s="76"/>
      <c r="G47" s="76"/>
      <c r="H47" s="76"/>
      <c r="I47" s="76"/>
      <c r="J47" s="76"/>
      <c r="K47" s="76"/>
      <c r="L47" s="76"/>
      <c r="M47" s="67">
        <f t="shared" si="0"/>
        <v>0</v>
      </c>
      <c r="N47" s="77" t="e">
        <f t="shared" si="1"/>
        <v>#DIV/0!</v>
      </c>
      <c r="O47" s="78">
        <f t="shared" si="2"/>
        <v>0</v>
      </c>
      <c r="P47" s="44"/>
      <c r="Q47" s="77" t="str">
        <f t="shared" si="3"/>
        <v/>
      </c>
      <c r="R47" s="78" t="str">
        <f t="shared" si="4"/>
        <v xml:space="preserve"> </v>
      </c>
      <c r="S47" s="71" t="str">
        <f t="shared" si="5"/>
        <v/>
      </c>
      <c r="T47" s="72" t="str">
        <f t="shared" si="6"/>
        <v/>
      </c>
      <c r="U47" s="73" t="str">
        <f t="shared" si="7"/>
        <v>P</v>
      </c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82"/>
      <c r="B48" s="82"/>
      <c r="C48" s="74"/>
      <c r="D48" s="75"/>
      <c r="E48" s="75"/>
      <c r="F48" s="76"/>
      <c r="G48" s="76"/>
      <c r="H48" s="76"/>
      <c r="I48" s="76"/>
      <c r="J48" s="76"/>
      <c r="K48" s="76"/>
      <c r="L48" s="76"/>
      <c r="M48" s="67">
        <f t="shared" si="0"/>
        <v>0</v>
      </c>
      <c r="N48" s="77" t="e">
        <f t="shared" si="1"/>
        <v>#DIV/0!</v>
      </c>
      <c r="O48" s="78">
        <f t="shared" si="2"/>
        <v>0</v>
      </c>
      <c r="P48" s="44"/>
      <c r="Q48" s="77" t="str">
        <f t="shared" si="3"/>
        <v/>
      </c>
      <c r="R48" s="78" t="str">
        <f t="shared" si="4"/>
        <v xml:space="preserve"> </v>
      </c>
      <c r="S48" s="71" t="str">
        <f t="shared" si="5"/>
        <v/>
      </c>
      <c r="T48" s="72" t="str">
        <f t="shared" si="6"/>
        <v/>
      </c>
      <c r="U48" s="73" t="str">
        <f t="shared" si="7"/>
        <v>P</v>
      </c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82"/>
      <c r="B49" s="82"/>
      <c r="C49" s="74"/>
      <c r="D49" s="75"/>
      <c r="E49" s="75"/>
      <c r="F49" s="76"/>
      <c r="G49" s="76"/>
      <c r="H49" s="76"/>
      <c r="I49" s="76"/>
      <c r="J49" s="76"/>
      <c r="K49" s="76"/>
      <c r="L49" s="76"/>
      <c r="M49" s="67">
        <f t="shared" si="0"/>
        <v>0</v>
      </c>
      <c r="N49" s="77" t="e">
        <f t="shared" si="1"/>
        <v>#DIV/0!</v>
      </c>
      <c r="O49" s="78">
        <f t="shared" si="2"/>
        <v>0</v>
      </c>
      <c r="P49" s="44"/>
      <c r="Q49" s="77" t="str">
        <f t="shared" si="3"/>
        <v/>
      </c>
      <c r="R49" s="78" t="str">
        <f t="shared" si="4"/>
        <v xml:space="preserve"> </v>
      </c>
      <c r="S49" s="71" t="str">
        <f t="shared" si="5"/>
        <v/>
      </c>
      <c r="T49" s="72" t="str">
        <f t="shared" si="6"/>
        <v/>
      </c>
      <c r="U49" s="73" t="str">
        <f t="shared" si="7"/>
        <v>P</v>
      </c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82"/>
      <c r="B50" s="82"/>
      <c r="C50" s="74"/>
      <c r="D50" s="75"/>
      <c r="E50" s="75"/>
      <c r="F50" s="76"/>
      <c r="G50" s="76"/>
      <c r="H50" s="76"/>
      <c r="I50" s="76"/>
      <c r="J50" s="76"/>
      <c r="K50" s="76"/>
      <c r="L50" s="76"/>
      <c r="M50" s="67">
        <f t="shared" si="0"/>
        <v>0</v>
      </c>
      <c r="N50" s="77" t="e">
        <f t="shared" si="1"/>
        <v>#DIV/0!</v>
      </c>
      <c r="O50" s="78">
        <f t="shared" si="2"/>
        <v>0</v>
      </c>
      <c r="P50" s="44"/>
      <c r="Q50" s="77" t="str">
        <f t="shared" si="3"/>
        <v/>
      </c>
      <c r="R50" s="78" t="str">
        <f t="shared" si="4"/>
        <v xml:space="preserve"> </v>
      </c>
      <c r="S50" s="71" t="str">
        <f t="shared" si="5"/>
        <v/>
      </c>
      <c r="T50" s="72" t="str">
        <f t="shared" si="6"/>
        <v/>
      </c>
      <c r="U50" s="73" t="str">
        <f t="shared" si="7"/>
        <v>P</v>
      </c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82"/>
      <c r="B51" s="82"/>
      <c r="C51" s="74"/>
      <c r="D51" s="75"/>
      <c r="E51" s="75"/>
      <c r="F51" s="76"/>
      <c r="G51" s="76"/>
      <c r="H51" s="76"/>
      <c r="I51" s="76"/>
      <c r="J51" s="76"/>
      <c r="K51" s="76"/>
      <c r="L51" s="76"/>
      <c r="M51" s="67">
        <f t="shared" si="0"/>
        <v>0</v>
      </c>
      <c r="N51" s="77" t="e">
        <f t="shared" si="1"/>
        <v>#DIV/0!</v>
      </c>
      <c r="O51" s="78">
        <f t="shared" si="2"/>
        <v>0</v>
      </c>
      <c r="P51" s="44"/>
      <c r="Q51" s="77" t="str">
        <f t="shared" si="3"/>
        <v/>
      </c>
      <c r="R51" s="78" t="str">
        <f t="shared" si="4"/>
        <v xml:space="preserve"> </v>
      </c>
      <c r="S51" s="71" t="str">
        <f t="shared" si="5"/>
        <v/>
      </c>
      <c r="T51" s="72" t="str">
        <f t="shared" si="6"/>
        <v/>
      </c>
      <c r="U51" s="73" t="str">
        <f t="shared" si="7"/>
        <v>P</v>
      </c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82"/>
      <c r="B52" s="82"/>
      <c r="C52" s="74"/>
      <c r="D52" s="75"/>
      <c r="E52" s="75"/>
      <c r="F52" s="76"/>
      <c r="G52" s="76"/>
      <c r="H52" s="76"/>
      <c r="I52" s="76"/>
      <c r="J52" s="76"/>
      <c r="K52" s="76"/>
      <c r="L52" s="76"/>
      <c r="M52" s="67">
        <f t="shared" si="0"/>
        <v>0</v>
      </c>
      <c r="N52" s="77" t="e">
        <f t="shared" si="1"/>
        <v>#DIV/0!</v>
      </c>
      <c r="O52" s="78">
        <f t="shared" si="2"/>
        <v>0</v>
      </c>
      <c r="P52" s="44"/>
      <c r="Q52" s="77" t="str">
        <f t="shared" si="3"/>
        <v/>
      </c>
      <c r="R52" s="78" t="str">
        <f t="shared" si="4"/>
        <v xml:space="preserve"> </v>
      </c>
      <c r="S52" s="71" t="str">
        <f t="shared" si="5"/>
        <v/>
      </c>
      <c r="T52" s="72" t="str">
        <f t="shared" si="6"/>
        <v/>
      </c>
      <c r="U52" s="73" t="str">
        <f t="shared" si="7"/>
        <v>P</v>
      </c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82"/>
      <c r="B53" s="82"/>
      <c r="C53" s="74"/>
      <c r="D53" s="75"/>
      <c r="E53" s="75"/>
      <c r="F53" s="76"/>
      <c r="G53" s="76"/>
      <c r="H53" s="76"/>
      <c r="I53" s="76"/>
      <c r="J53" s="76"/>
      <c r="K53" s="76"/>
      <c r="L53" s="76"/>
      <c r="M53" s="67">
        <f t="shared" si="0"/>
        <v>0</v>
      </c>
      <c r="N53" s="77" t="e">
        <f t="shared" si="1"/>
        <v>#DIV/0!</v>
      </c>
      <c r="O53" s="78">
        <f t="shared" si="2"/>
        <v>0</v>
      </c>
      <c r="P53" s="44"/>
      <c r="Q53" s="77" t="str">
        <f t="shared" si="3"/>
        <v/>
      </c>
      <c r="R53" s="78" t="str">
        <f t="shared" si="4"/>
        <v xml:space="preserve"> </v>
      </c>
      <c r="S53" s="71" t="str">
        <f t="shared" si="5"/>
        <v/>
      </c>
      <c r="T53" s="72" t="str">
        <f t="shared" si="6"/>
        <v/>
      </c>
      <c r="U53" s="73" t="str">
        <f t="shared" si="7"/>
        <v>P</v>
      </c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82"/>
      <c r="B54" s="82"/>
      <c r="C54" s="74"/>
      <c r="D54" s="75"/>
      <c r="E54" s="75"/>
      <c r="F54" s="76"/>
      <c r="G54" s="76"/>
      <c r="H54" s="76"/>
      <c r="I54" s="76"/>
      <c r="J54" s="76"/>
      <c r="K54" s="76"/>
      <c r="L54" s="76"/>
      <c r="M54" s="67">
        <f t="shared" si="0"/>
        <v>0</v>
      </c>
      <c r="N54" s="77" t="e">
        <f t="shared" si="1"/>
        <v>#DIV/0!</v>
      </c>
      <c r="O54" s="78">
        <f t="shared" si="2"/>
        <v>0</v>
      </c>
      <c r="P54" s="44"/>
      <c r="Q54" s="77" t="str">
        <f t="shared" si="3"/>
        <v/>
      </c>
      <c r="R54" s="78" t="str">
        <f t="shared" si="4"/>
        <v xml:space="preserve"> </v>
      </c>
      <c r="S54" s="71" t="str">
        <f t="shared" si="5"/>
        <v/>
      </c>
      <c r="T54" s="72" t="str">
        <f t="shared" si="6"/>
        <v/>
      </c>
      <c r="U54" s="73" t="str">
        <f t="shared" si="7"/>
        <v>P</v>
      </c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82"/>
      <c r="B55" s="82"/>
      <c r="C55" s="74"/>
      <c r="D55" s="75"/>
      <c r="E55" s="75"/>
      <c r="F55" s="76"/>
      <c r="G55" s="76"/>
      <c r="H55" s="76"/>
      <c r="I55" s="76"/>
      <c r="J55" s="76"/>
      <c r="K55" s="76"/>
      <c r="L55" s="76"/>
      <c r="M55" s="67">
        <f t="shared" si="0"/>
        <v>0</v>
      </c>
      <c r="N55" s="77" t="e">
        <f t="shared" si="1"/>
        <v>#DIV/0!</v>
      </c>
      <c r="O55" s="78">
        <f t="shared" si="2"/>
        <v>0</v>
      </c>
      <c r="P55" s="44"/>
      <c r="Q55" s="77" t="str">
        <f t="shared" si="3"/>
        <v/>
      </c>
      <c r="R55" s="78" t="str">
        <f t="shared" si="4"/>
        <v xml:space="preserve"> </v>
      </c>
      <c r="S55" s="71" t="str">
        <f t="shared" si="5"/>
        <v/>
      </c>
      <c r="T55" s="72" t="str">
        <f t="shared" si="6"/>
        <v/>
      </c>
      <c r="U55" s="73" t="str">
        <f t="shared" si="7"/>
        <v>P</v>
      </c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8"/>
      <c r="B56" s="28"/>
      <c r="C56" s="74"/>
      <c r="D56" s="75"/>
      <c r="E56" s="75"/>
      <c r="F56" s="76"/>
      <c r="G56" s="76"/>
      <c r="H56" s="76"/>
      <c r="I56" s="76"/>
      <c r="J56" s="76"/>
      <c r="K56" s="76"/>
      <c r="L56" s="76"/>
      <c r="M56" s="67">
        <f t="shared" si="0"/>
        <v>0</v>
      </c>
      <c r="N56" s="77" t="e">
        <f t="shared" si="1"/>
        <v>#DIV/0!</v>
      </c>
      <c r="O56" s="78">
        <f t="shared" si="2"/>
        <v>0</v>
      </c>
      <c r="P56" s="54"/>
      <c r="Q56" s="77" t="str">
        <f t="shared" si="3"/>
        <v/>
      </c>
      <c r="R56" s="78" t="str">
        <f t="shared" si="4"/>
        <v xml:space="preserve"> </v>
      </c>
      <c r="S56" s="71" t="str">
        <f t="shared" si="5"/>
        <v/>
      </c>
      <c r="T56" s="72" t="str">
        <f t="shared" si="6"/>
        <v/>
      </c>
      <c r="U56" s="73" t="str">
        <f t="shared" si="7"/>
        <v>P</v>
      </c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153"/>
      <c r="B57" s="24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>
        <f t="shared" si="0"/>
        <v>0</v>
      </c>
      <c r="N57" s="55" t="e">
        <f t="shared" si="1"/>
        <v>#DIV/0!</v>
      </c>
      <c r="O57" s="55">
        <f t="shared" si="2"/>
        <v>0</v>
      </c>
      <c r="P57" s="55"/>
      <c r="Q57" s="55"/>
      <c r="R57" s="55"/>
      <c r="S57" s="55"/>
      <c r="T57" s="83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154"/>
      <c r="B58" s="173" t="s">
        <v>16</v>
      </c>
      <c r="C58" s="169"/>
      <c r="D58" s="169"/>
      <c r="E58" s="169"/>
      <c r="F58" s="169"/>
      <c r="G58" s="169"/>
      <c r="H58" s="169"/>
      <c r="I58" s="169"/>
      <c r="J58" s="169"/>
      <c r="K58" s="173" t="s">
        <v>17</v>
      </c>
      <c r="L58" s="169"/>
      <c r="M58" s="169"/>
      <c r="N58" s="169"/>
      <c r="O58" s="169"/>
      <c r="P58" s="169"/>
      <c r="Q58" s="169"/>
      <c r="R58" s="169"/>
      <c r="S58" s="169"/>
      <c r="T58" s="169"/>
      <c r="U58" s="170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154"/>
      <c r="B59" s="162" t="s">
        <v>60</v>
      </c>
      <c r="C59" s="163"/>
      <c r="D59" s="163"/>
      <c r="E59" s="163"/>
      <c r="F59" s="163"/>
      <c r="G59" s="163"/>
      <c r="H59" s="163"/>
      <c r="I59" s="163"/>
      <c r="J59" s="163"/>
      <c r="K59" s="162" t="s">
        <v>59</v>
      </c>
      <c r="L59" s="163"/>
      <c r="M59" s="163"/>
      <c r="N59" s="163"/>
      <c r="O59" s="163"/>
      <c r="P59" s="163"/>
      <c r="Q59" s="163"/>
      <c r="R59" s="163"/>
      <c r="S59" s="163"/>
      <c r="T59" s="163"/>
      <c r="U59" s="16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154"/>
      <c r="B60" s="164"/>
      <c r="C60" s="154"/>
      <c r="D60" s="154"/>
      <c r="E60" s="154"/>
      <c r="F60" s="154"/>
      <c r="G60" s="154"/>
      <c r="H60" s="154"/>
      <c r="I60" s="154"/>
      <c r="J60" s="154"/>
      <c r="K60" s="166"/>
      <c r="L60" s="155"/>
      <c r="M60" s="155"/>
      <c r="N60" s="155"/>
      <c r="O60" s="155"/>
      <c r="P60" s="155"/>
      <c r="Q60" s="155"/>
      <c r="R60" s="155"/>
      <c r="S60" s="155"/>
      <c r="T60" s="155"/>
      <c r="U60" s="167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155"/>
      <c r="B61" s="174" t="s">
        <v>54</v>
      </c>
      <c r="C61" s="169"/>
      <c r="D61" s="169"/>
      <c r="E61" s="169"/>
      <c r="F61" s="169"/>
      <c r="G61" s="169"/>
      <c r="H61" s="169"/>
      <c r="I61" s="169"/>
      <c r="J61" s="169"/>
      <c r="K61" s="174" t="s">
        <v>58</v>
      </c>
      <c r="L61" s="169"/>
      <c r="M61" s="169"/>
      <c r="N61" s="169"/>
      <c r="O61" s="169"/>
      <c r="P61" s="169"/>
      <c r="Q61" s="169"/>
      <c r="R61" s="169"/>
      <c r="S61" s="169"/>
      <c r="T61" s="169"/>
      <c r="U61" s="170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6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39"/>
      <c r="U62" s="39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6" t="s">
        <v>18</v>
      </c>
      <c r="C63" s="27"/>
      <c r="D63" s="28"/>
      <c r="E63" s="28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35"/>
      <c r="Q63" s="25"/>
      <c r="R63" s="25"/>
      <c r="S63" s="25"/>
      <c r="T63" s="39"/>
      <c r="U63" s="39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9"/>
      <c r="C64" s="25" t="s">
        <v>19</v>
      </c>
      <c r="D64" s="28"/>
      <c r="E64" s="28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36"/>
      <c r="Q64" s="25"/>
      <c r="R64" s="25"/>
      <c r="S64" s="25"/>
      <c r="T64" s="39"/>
      <c r="U64" s="39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3"/>
      <c r="B65" s="28"/>
      <c r="C65" s="28"/>
      <c r="D65" s="28"/>
      <c r="E65" s="2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55"/>
      <c r="Q65" s="23"/>
      <c r="R65" s="23"/>
      <c r="S65" s="23"/>
      <c r="T65" s="38"/>
      <c r="U65" s="38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</sheetData>
  <mergeCells count="24">
    <mergeCell ref="A6:U6"/>
    <mergeCell ref="A7:U7"/>
    <mergeCell ref="A8:U8"/>
    <mergeCell ref="C10:O10"/>
    <mergeCell ref="P10:U10"/>
    <mergeCell ref="C11:O11"/>
    <mergeCell ref="P11:U11"/>
    <mergeCell ref="C12:R12"/>
    <mergeCell ref="C13:O13"/>
    <mergeCell ref="P13:R13"/>
    <mergeCell ref="A12:A16"/>
    <mergeCell ref="A57:A61"/>
    <mergeCell ref="B12:B16"/>
    <mergeCell ref="S12:S16"/>
    <mergeCell ref="T12:T16"/>
    <mergeCell ref="B59:J60"/>
    <mergeCell ref="K59:U60"/>
    <mergeCell ref="C14:O14"/>
    <mergeCell ref="P14:R14"/>
    <mergeCell ref="B58:J58"/>
    <mergeCell ref="K58:U58"/>
    <mergeCell ref="B61:J61"/>
    <mergeCell ref="K61:U61"/>
    <mergeCell ref="U12:U16"/>
  </mergeCells>
  <pageMargins left="0.7" right="1.2" top="0.75" bottom="0.75" header="0" footer="0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983"/>
  <sheetViews>
    <sheetView topLeftCell="A11" zoomScale="70" zoomScaleNormal="70" workbookViewId="0">
      <selection activeCell="P16" sqref="P16:P55"/>
    </sheetView>
  </sheetViews>
  <sheetFormatPr defaultColWidth="14.453125" defaultRowHeight="15" customHeight="1"/>
  <cols>
    <col min="1" max="1" width="15.08984375" customWidth="1"/>
    <col min="2" max="2" width="64.90625" customWidth="1"/>
    <col min="3" max="4" width="5" customWidth="1"/>
    <col min="5" max="5" width="4.6328125" customWidth="1"/>
    <col min="6" max="13" width="7" customWidth="1"/>
    <col min="14" max="14" width="8" customWidth="1"/>
    <col min="15" max="15" width="9.54296875" customWidth="1"/>
    <col min="16" max="16" width="9" customWidth="1"/>
    <col min="17" max="17" width="7.90625" customWidth="1"/>
    <col min="18" max="18" width="10.453125" customWidth="1"/>
    <col min="19" max="19" width="7.6328125" customWidth="1"/>
    <col min="20" max="20" width="9.08984375" customWidth="1"/>
    <col min="21" max="21" width="3.36328125" customWidth="1"/>
    <col min="22" max="29" width="9.08984375" customWidth="1"/>
  </cols>
  <sheetData>
    <row r="1" spans="1:29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25"/>
      <c r="W3" s="25"/>
      <c r="X3" s="25"/>
      <c r="Y3" s="25"/>
      <c r="Z3" s="25"/>
      <c r="AA3" s="25"/>
      <c r="AB3" s="25"/>
      <c r="AC3" s="25"/>
    </row>
    <row r="4" spans="1:29" ht="15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37"/>
      <c r="U4" s="37"/>
      <c r="V4" s="25"/>
      <c r="W4" s="25"/>
      <c r="X4" s="25"/>
      <c r="Y4" s="25"/>
      <c r="Z4" s="25"/>
      <c r="AA4" s="25"/>
      <c r="AB4" s="25"/>
      <c r="AC4" s="25"/>
    </row>
    <row r="5" spans="1:29" ht="15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25"/>
      <c r="W5" s="25"/>
      <c r="X5" s="25"/>
      <c r="Y5" s="25"/>
      <c r="Z5" s="25"/>
      <c r="AA5" s="25"/>
      <c r="AB5" s="25"/>
      <c r="AC5" s="25"/>
    </row>
    <row r="6" spans="1:29" ht="15.75" customHeight="1">
      <c r="A6" s="182" t="s">
        <v>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8"/>
      <c r="W6" s="18"/>
      <c r="X6" s="18"/>
      <c r="Y6" s="18"/>
      <c r="Z6" s="18"/>
      <c r="AA6" s="18"/>
      <c r="AB6" s="28"/>
      <c r="AC6" s="28"/>
    </row>
    <row r="7" spans="1:29" ht="15.75" customHeight="1">
      <c r="A7" s="183" t="s">
        <v>1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9"/>
      <c r="W7" s="19"/>
      <c r="X7" s="19"/>
      <c r="Y7" s="19"/>
      <c r="Z7" s="19"/>
      <c r="AA7" s="19"/>
      <c r="AB7" s="28"/>
      <c r="AC7" s="28"/>
    </row>
    <row r="8" spans="1:29" ht="15.75" customHeight="1">
      <c r="A8" s="183" t="s">
        <v>57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20"/>
      <c r="W8" s="20"/>
      <c r="X8" s="20"/>
      <c r="Y8" s="20"/>
      <c r="Z8" s="20"/>
      <c r="AA8" s="20"/>
      <c r="AB8" s="28"/>
      <c r="AC8" s="28"/>
    </row>
    <row r="9" spans="1:2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30" t="s">
        <v>2</v>
      </c>
      <c r="Q9" s="30"/>
      <c r="R9" s="30"/>
      <c r="S9" s="30"/>
      <c r="T9" s="30"/>
      <c r="U9" s="30"/>
      <c r="V9" s="30"/>
      <c r="W9" s="30"/>
      <c r="X9" s="30"/>
      <c r="AB9" s="28"/>
      <c r="AC9" s="28"/>
    </row>
    <row r="10" spans="1:29" ht="15.75" customHeight="1">
      <c r="A10" s="40" t="s">
        <v>63</v>
      </c>
      <c r="B10" s="41"/>
      <c r="C10" s="184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85"/>
      <c r="Q10" s="192"/>
      <c r="R10" s="192"/>
      <c r="S10" s="192"/>
      <c r="T10" s="192"/>
      <c r="U10" s="193"/>
      <c r="V10" s="25"/>
      <c r="W10" s="25"/>
      <c r="X10" s="25"/>
      <c r="Y10" s="25"/>
      <c r="Z10" s="25"/>
      <c r="AA10" s="25"/>
      <c r="AB10" s="25"/>
      <c r="AC10" s="25"/>
    </row>
    <row r="11" spans="1:29" ht="15.75" customHeight="1">
      <c r="A11" s="40" t="s">
        <v>61</v>
      </c>
      <c r="B11" s="41"/>
      <c r="C11" s="175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176"/>
      <c r="Q11" s="127"/>
      <c r="R11" s="127"/>
      <c r="S11" s="127"/>
      <c r="T11" s="127"/>
      <c r="U11" s="205"/>
      <c r="V11" s="25"/>
      <c r="W11" s="25"/>
      <c r="X11" s="25"/>
      <c r="Y11" s="25"/>
      <c r="Z11" s="25"/>
      <c r="AA11" s="25"/>
      <c r="AB11" s="25"/>
      <c r="AC11" s="25"/>
    </row>
    <row r="12" spans="1:29" ht="32.25" customHeight="1">
      <c r="A12" s="150" t="s">
        <v>3</v>
      </c>
      <c r="B12" s="156" t="s">
        <v>20</v>
      </c>
      <c r="C12" s="178" t="s">
        <v>64</v>
      </c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7"/>
      <c r="S12" s="159" t="s">
        <v>5</v>
      </c>
      <c r="T12" s="159" t="s">
        <v>6</v>
      </c>
      <c r="U12" s="159" t="s">
        <v>7</v>
      </c>
      <c r="V12" s="25"/>
      <c r="W12" s="25"/>
      <c r="X12" s="25"/>
      <c r="Y12" s="25"/>
      <c r="Z12" s="25"/>
      <c r="AA12" s="25"/>
      <c r="AB12" s="25"/>
      <c r="AC12" s="25"/>
    </row>
    <row r="13" spans="1:29" ht="37.5" customHeight="1">
      <c r="A13" s="186"/>
      <c r="B13" s="188"/>
      <c r="C13" s="181" t="s">
        <v>8</v>
      </c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3"/>
      <c r="P13" s="171" t="s">
        <v>9</v>
      </c>
      <c r="Q13" s="192"/>
      <c r="R13" s="194"/>
      <c r="S13" s="190"/>
      <c r="T13" s="190"/>
      <c r="U13" s="190"/>
      <c r="V13" s="25"/>
      <c r="W13" s="25"/>
      <c r="X13" s="25"/>
      <c r="Y13" s="25"/>
      <c r="Z13" s="25"/>
      <c r="AA13" s="25"/>
      <c r="AB13" s="25"/>
      <c r="AC13" s="25"/>
    </row>
    <row r="14" spans="1:29" ht="47.25" customHeight="1">
      <c r="A14" s="186"/>
      <c r="B14" s="188"/>
      <c r="C14" s="168" t="s">
        <v>10</v>
      </c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3"/>
      <c r="P14" s="171" t="s">
        <v>21</v>
      </c>
      <c r="Q14" s="192"/>
      <c r="R14" s="194"/>
      <c r="S14" s="190"/>
      <c r="T14" s="190"/>
      <c r="U14" s="190"/>
      <c r="V14" s="25"/>
      <c r="W14" s="25"/>
      <c r="X14" s="25"/>
      <c r="Y14" s="25"/>
      <c r="Z14" s="25"/>
      <c r="AA14" s="25"/>
      <c r="AB14" s="25"/>
      <c r="AC14" s="25"/>
    </row>
    <row r="15" spans="1:29" ht="47.25" customHeight="1">
      <c r="A15" s="186"/>
      <c r="B15" s="188"/>
      <c r="C15" s="58"/>
      <c r="D15" s="59"/>
      <c r="E15" s="59"/>
      <c r="F15" s="51"/>
      <c r="G15" s="51"/>
      <c r="H15" s="51"/>
      <c r="I15" s="51"/>
      <c r="J15" s="51"/>
      <c r="K15" s="51"/>
      <c r="L15" s="51"/>
      <c r="M15" s="51" t="s">
        <v>12</v>
      </c>
      <c r="N15" s="51" t="s">
        <v>13</v>
      </c>
      <c r="O15" s="51" t="s">
        <v>14</v>
      </c>
      <c r="P15" s="51" t="s">
        <v>12</v>
      </c>
      <c r="Q15" s="51" t="s">
        <v>13</v>
      </c>
      <c r="R15" s="60" t="s">
        <v>14</v>
      </c>
      <c r="S15" s="190"/>
      <c r="T15" s="190"/>
      <c r="U15" s="190"/>
      <c r="V15" s="25"/>
      <c r="W15" s="25"/>
      <c r="X15" s="25"/>
      <c r="Y15" s="25"/>
      <c r="Z15" s="25"/>
      <c r="AA15" s="25"/>
      <c r="AB15" s="25"/>
      <c r="AC15" s="25"/>
    </row>
    <row r="16" spans="1:29" ht="90" customHeight="1">
      <c r="A16" s="187"/>
      <c r="B16" s="189"/>
      <c r="C16" s="61"/>
      <c r="D16" s="52"/>
      <c r="E16" s="52"/>
      <c r="F16" s="52"/>
      <c r="G16" s="52"/>
      <c r="H16" s="52"/>
      <c r="I16" s="52"/>
      <c r="J16" s="52"/>
      <c r="K16" s="52"/>
      <c r="L16" s="52"/>
      <c r="M16" s="52">
        <f t="shared" ref="M16:M56" si="0">SUM(C16:L16)</f>
        <v>0</v>
      </c>
      <c r="N16" s="52" t="s">
        <v>15</v>
      </c>
      <c r="O16" s="62">
        <v>0.6</v>
      </c>
      <c r="P16" s="52"/>
      <c r="Q16" s="52" t="s">
        <v>15</v>
      </c>
      <c r="R16" s="63">
        <v>0.4</v>
      </c>
      <c r="S16" s="191"/>
      <c r="T16" s="191"/>
      <c r="U16" s="191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64">
        <f>prelim!A17</f>
        <v>0</v>
      </c>
      <c r="B17" s="22">
        <f>prelim!B17</f>
        <v>0</v>
      </c>
      <c r="C17" s="65"/>
      <c r="D17" s="66"/>
      <c r="E17" s="66"/>
      <c r="F17" s="67"/>
      <c r="G17" s="67"/>
      <c r="H17" s="67"/>
      <c r="I17" s="67"/>
      <c r="J17" s="67"/>
      <c r="K17" s="67"/>
      <c r="L17" s="67"/>
      <c r="M17" s="67">
        <f t="shared" si="0"/>
        <v>0</v>
      </c>
      <c r="N17" s="68" t="e">
        <f t="shared" ref="N17:N56" si="1">IF(OR(M17="",$O$16=""),"",IF(M17&gt;=$M$16/2,ROUND(100+(50*(M17-$M$16))/$M$16,0),ROUND(75+(20*(M17-$M$16/2)/$M$16),0)))</f>
        <v>#DIV/0!</v>
      </c>
      <c r="O17" s="69">
        <f t="shared" ref="O17:O56" si="2">IFERROR((N17*$O$16),0)</f>
        <v>0</v>
      </c>
      <c r="P17" s="70"/>
      <c r="Q17" s="68" t="str">
        <f t="shared" ref="Q17:Q52" si="3">IF(OR(P17="",$P$16=""),"",IF(P17&gt;=$P$16/2,ROUND(100+(50*(P17-$P$16))/$P$16,0),ROUND(75+(20*(P17-$P$16/2)/$P$16),0)))</f>
        <v/>
      </c>
      <c r="R17" s="69" t="str">
        <f t="shared" ref="R17:R56" si="4">IFERROR((Q17*0.4)," ")</f>
        <v xml:space="preserve"> </v>
      </c>
      <c r="S17" s="71" t="str">
        <f t="shared" ref="S17:S56" si="5">IFERROR((O17+R17),"")</f>
        <v/>
      </c>
      <c r="T17" s="72" t="str">
        <f t="shared" ref="T17:T56" si="6">IF(S17="","",ROUND(S17,0))</f>
        <v/>
      </c>
      <c r="U17" s="73" t="str">
        <f t="shared" ref="U17:U56" si="7">IF((T17&lt;=74),"F","P")</f>
        <v>P</v>
      </c>
      <c r="V17" s="25"/>
      <c r="W17" s="25"/>
      <c r="X17" s="25"/>
      <c r="Y17" s="25"/>
      <c r="Z17" s="25"/>
      <c r="AA17" s="25"/>
      <c r="AB17" s="25"/>
      <c r="AC17" s="25"/>
    </row>
    <row r="18" spans="1:29" s="49" customFormat="1" ht="15.75" customHeight="1">
      <c r="A18" s="64">
        <f>prelim!A18</f>
        <v>0</v>
      </c>
      <c r="B18" s="22">
        <f>prelim!B18</f>
        <v>0</v>
      </c>
      <c r="C18" s="74"/>
      <c r="D18" s="75"/>
      <c r="E18" s="75"/>
      <c r="F18" s="76"/>
      <c r="G18" s="76"/>
      <c r="H18" s="76"/>
      <c r="I18" s="76"/>
      <c r="J18" s="76"/>
      <c r="K18" s="76"/>
      <c r="L18" s="76"/>
      <c r="M18" s="67">
        <f t="shared" si="0"/>
        <v>0</v>
      </c>
      <c r="N18" s="77" t="e">
        <f t="shared" si="1"/>
        <v>#DIV/0!</v>
      </c>
      <c r="O18" s="78">
        <f t="shared" si="2"/>
        <v>0</v>
      </c>
      <c r="P18" s="54"/>
      <c r="Q18" s="77" t="str">
        <f t="shared" si="3"/>
        <v/>
      </c>
      <c r="R18" s="78" t="str">
        <f t="shared" si="4"/>
        <v xml:space="preserve"> </v>
      </c>
      <c r="S18" s="71" t="str">
        <f t="shared" si="5"/>
        <v/>
      </c>
      <c r="T18" s="72" t="str">
        <f t="shared" si="6"/>
        <v/>
      </c>
      <c r="U18" s="73" t="str">
        <f t="shared" si="7"/>
        <v>P</v>
      </c>
      <c r="V18" s="45"/>
      <c r="W18" s="45"/>
      <c r="X18" s="45"/>
      <c r="Y18" s="45"/>
      <c r="Z18" s="45"/>
      <c r="AA18" s="45"/>
      <c r="AB18" s="45"/>
      <c r="AC18" s="45"/>
    </row>
    <row r="19" spans="1:29" ht="15.75" customHeight="1">
      <c r="A19" s="64">
        <f>prelim!A19</f>
        <v>0</v>
      </c>
      <c r="B19" s="22">
        <f>prelim!B19</f>
        <v>0</v>
      </c>
      <c r="C19" s="74"/>
      <c r="D19" s="75"/>
      <c r="E19" s="75"/>
      <c r="F19" s="76"/>
      <c r="G19" s="76"/>
      <c r="H19" s="76"/>
      <c r="I19" s="76"/>
      <c r="J19" s="76"/>
      <c r="K19" s="76"/>
      <c r="L19" s="76"/>
      <c r="M19" s="67">
        <f t="shared" si="0"/>
        <v>0</v>
      </c>
      <c r="N19" s="77" t="e">
        <f t="shared" si="1"/>
        <v>#DIV/0!</v>
      </c>
      <c r="O19" s="78">
        <f t="shared" si="2"/>
        <v>0</v>
      </c>
      <c r="P19" s="54"/>
      <c r="Q19" s="77" t="str">
        <f t="shared" si="3"/>
        <v/>
      </c>
      <c r="R19" s="78" t="str">
        <f t="shared" si="4"/>
        <v xml:space="preserve"> </v>
      </c>
      <c r="S19" s="71" t="str">
        <f t="shared" si="5"/>
        <v/>
      </c>
      <c r="T19" s="72" t="str">
        <f t="shared" si="6"/>
        <v/>
      </c>
      <c r="U19" s="73" t="str">
        <f t="shared" si="7"/>
        <v>P</v>
      </c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64">
        <f>prelim!A20</f>
        <v>0</v>
      </c>
      <c r="B20" s="22">
        <f>prelim!B20</f>
        <v>0</v>
      </c>
      <c r="C20" s="74"/>
      <c r="D20" s="75"/>
      <c r="E20" s="75"/>
      <c r="F20" s="76"/>
      <c r="G20" s="76"/>
      <c r="H20" s="76"/>
      <c r="I20" s="76"/>
      <c r="J20" s="76"/>
      <c r="K20" s="76"/>
      <c r="L20" s="76"/>
      <c r="M20" s="67">
        <f t="shared" si="0"/>
        <v>0</v>
      </c>
      <c r="N20" s="77" t="e">
        <f t="shared" si="1"/>
        <v>#DIV/0!</v>
      </c>
      <c r="O20" s="78">
        <f t="shared" si="2"/>
        <v>0</v>
      </c>
      <c r="P20" s="54"/>
      <c r="Q20" s="77" t="str">
        <f t="shared" si="3"/>
        <v/>
      </c>
      <c r="R20" s="78" t="str">
        <f t="shared" si="4"/>
        <v xml:space="preserve"> </v>
      </c>
      <c r="S20" s="71" t="str">
        <f t="shared" si="5"/>
        <v/>
      </c>
      <c r="T20" s="72" t="str">
        <f t="shared" si="6"/>
        <v/>
      </c>
      <c r="U20" s="73" t="str">
        <f t="shared" si="7"/>
        <v>P</v>
      </c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64">
        <f>prelim!A21</f>
        <v>0</v>
      </c>
      <c r="B21" s="22">
        <f>prelim!B21</f>
        <v>0</v>
      </c>
      <c r="C21" s="74"/>
      <c r="D21" s="75"/>
      <c r="E21" s="75"/>
      <c r="F21" s="76"/>
      <c r="G21" s="76"/>
      <c r="H21" s="76"/>
      <c r="I21" s="76"/>
      <c r="J21" s="76"/>
      <c r="K21" s="76"/>
      <c r="L21" s="76"/>
      <c r="M21" s="67">
        <f t="shared" si="0"/>
        <v>0</v>
      </c>
      <c r="N21" s="77" t="e">
        <f t="shared" si="1"/>
        <v>#DIV/0!</v>
      </c>
      <c r="O21" s="78">
        <f t="shared" si="2"/>
        <v>0</v>
      </c>
      <c r="P21" s="54"/>
      <c r="Q21" s="77" t="str">
        <f t="shared" si="3"/>
        <v/>
      </c>
      <c r="R21" s="78" t="str">
        <f t="shared" si="4"/>
        <v xml:space="preserve"> </v>
      </c>
      <c r="S21" s="71" t="str">
        <f t="shared" si="5"/>
        <v/>
      </c>
      <c r="T21" s="72" t="str">
        <f t="shared" si="6"/>
        <v/>
      </c>
      <c r="U21" s="73" t="str">
        <f t="shared" si="7"/>
        <v>P</v>
      </c>
      <c r="V21" s="25"/>
      <c r="W21" s="25"/>
      <c r="X21" s="25"/>
      <c r="Y21" s="25"/>
      <c r="Z21" s="25"/>
      <c r="AA21" s="25"/>
      <c r="AB21" s="25"/>
      <c r="AC21" s="25"/>
    </row>
    <row r="22" spans="1:29" ht="15.5" customHeight="1">
      <c r="A22" s="64">
        <f>prelim!A22</f>
        <v>0</v>
      </c>
      <c r="B22" s="22">
        <f>prelim!B22</f>
        <v>0</v>
      </c>
      <c r="C22" s="74"/>
      <c r="D22" s="75"/>
      <c r="E22" s="75"/>
      <c r="F22" s="76"/>
      <c r="G22" s="76"/>
      <c r="H22" s="76"/>
      <c r="I22" s="76"/>
      <c r="J22" s="76"/>
      <c r="K22" s="76"/>
      <c r="L22" s="76"/>
      <c r="M22" s="67">
        <f t="shared" si="0"/>
        <v>0</v>
      </c>
      <c r="N22" s="77" t="e">
        <f t="shared" si="1"/>
        <v>#DIV/0!</v>
      </c>
      <c r="O22" s="78">
        <f t="shared" si="2"/>
        <v>0</v>
      </c>
      <c r="P22" s="54"/>
      <c r="Q22" s="77" t="str">
        <f t="shared" si="3"/>
        <v/>
      </c>
      <c r="R22" s="78" t="str">
        <f t="shared" si="4"/>
        <v xml:space="preserve"> </v>
      </c>
      <c r="S22" s="71" t="str">
        <f t="shared" si="5"/>
        <v/>
      </c>
      <c r="T22" s="72" t="str">
        <f t="shared" si="6"/>
        <v/>
      </c>
      <c r="U22" s="73" t="str">
        <f t="shared" si="7"/>
        <v>P</v>
      </c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64">
        <f>prelim!A23</f>
        <v>0</v>
      </c>
      <c r="B23" s="22">
        <f>prelim!B23</f>
        <v>0</v>
      </c>
      <c r="C23" s="74"/>
      <c r="D23" s="75"/>
      <c r="E23" s="75"/>
      <c r="F23" s="76"/>
      <c r="G23" s="76"/>
      <c r="H23" s="76"/>
      <c r="I23" s="76"/>
      <c r="J23" s="76"/>
      <c r="K23" s="76"/>
      <c r="L23" s="76"/>
      <c r="M23" s="67">
        <f t="shared" si="0"/>
        <v>0</v>
      </c>
      <c r="N23" s="77" t="e">
        <f t="shared" si="1"/>
        <v>#DIV/0!</v>
      </c>
      <c r="O23" s="78">
        <f t="shared" si="2"/>
        <v>0</v>
      </c>
      <c r="P23" s="54"/>
      <c r="Q23" s="77" t="str">
        <f t="shared" si="3"/>
        <v/>
      </c>
      <c r="R23" s="78" t="str">
        <f t="shared" si="4"/>
        <v xml:space="preserve"> </v>
      </c>
      <c r="S23" s="71" t="str">
        <f t="shared" si="5"/>
        <v/>
      </c>
      <c r="T23" s="72" t="str">
        <f t="shared" si="6"/>
        <v/>
      </c>
      <c r="U23" s="73" t="str">
        <f t="shared" si="7"/>
        <v>P</v>
      </c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64">
        <f>prelim!A24</f>
        <v>0</v>
      </c>
      <c r="B24" s="22">
        <f>prelim!B24</f>
        <v>0</v>
      </c>
      <c r="C24" s="74"/>
      <c r="D24" s="75"/>
      <c r="E24" s="75"/>
      <c r="F24" s="76"/>
      <c r="G24" s="76"/>
      <c r="H24" s="76"/>
      <c r="I24" s="76"/>
      <c r="J24" s="76"/>
      <c r="K24" s="76"/>
      <c r="L24" s="76"/>
      <c r="M24" s="67">
        <f t="shared" si="0"/>
        <v>0</v>
      </c>
      <c r="N24" s="77" t="e">
        <f t="shared" si="1"/>
        <v>#DIV/0!</v>
      </c>
      <c r="O24" s="78">
        <f t="shared" si="2"/>
        <v>0</v>
      </c>
      <c r="P24" s="54"/>
      <c r="Q24" s="77" t="str">
        <f t="shared" si="3"/>
        <v/>
      </c>
      <c r="R24" s="78" t="str">
        <f t="shared" si="4"/>
        <v xml:space="preserve"> </v>
      </c>
      <c r="S24" s="71" t="str">
        <f t="shared" si="5"/>
        <v/>
      </c>
      <c r="T24" s="72" t="str">
        <f t="shared" si="6"/>
        <v/>
      </c>
      <c r="U24" s="73" t="str">
        <f t="shared" si="7"/>
        <v>P</v>
      </c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64">
        <f>prelim!A25</f>
        <v>0</v>
      </c>
      <c r="B25" s="22">
        <f>prelim!B25</f>
        <v>0</v>
      </c>
      <c r="C25" s="74"/>
      <c r="D25" s="75"/>
      <c r="E25" s="75"/>
      <c r="F25" s="76"/>
      <c r="G25" s="76"/>
      <c r="H25" s="76"/>
      <c r="I25" s="76"/>
      <c r="J25" s="76"/>
      <c r="K25" s="76"/>
      <c r="L25" s="76"/>
      <c r="M25" s="67">
        <f t="shared" si="0"/>
        <v>0</v>
      </c>
      <c r="N25" s="77" t="e">
        <f t="shared" si="1"/>
        <v>#DIV/0!</v>
      </c>
      <c r="O25" s="78">
        <f t="shared" si="2"/>
        <v>0</v>
      </c>
      <c r="P25" s="54"/>
      <c r="Q25" s="77" t="str">
        <f t="shared" si="3"/>
        <v/>
      </c>
      <c r="R25" s="78" t="str">
        <f t="shared" si="4"/>
        <v xml:space="preserve"> </v>
      </c>
      <c r="S25" s="71" t="str">
        <f t="shared" si="5"/>
        <v/>
      </c>
      <c r="T25" s="72" t="str">
        <f t="shared" si="6"/>
        <v/>
      </c>
      <c r="U25" s="73" t="str">
        <f t="shared" si="7"/>
        <v>P</v>
      </c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64">
        <f>prelim!A26</f>
        <v>0</v>
      </c>
      <c r="B26" s="22">
        <f>prelim!B26</f>
        <v>0</v>
      </c>
      <c r="C26" s="74"/>
      <c r="D26" s="75"/>
      <c r="E26" s="75"/>
      <c r="F26" s="76"/>
      <c r="G26" s="76"/>
      <c r="H26" s="76"/>
      <c r="I26" s="76"/>
      <c r="J26" s="76"/>
      <c r="K26" s="76"/>
      <c r="L26" s="76"/>
      <c r="M26" s="67">
        <f t="shared" si="0"/>
        <v>0</v>
      </c>
      <c r="N26" s="77" t="e">
        <f t="shared" si="1"/>
        <v>#DIV/0!</v>
      </c>
      <c r="O26" s="78">
        <f t="shared" si="2"/>
        <v>0</v>
      </c>
      <c r="P26" s="54"/>
      <c r="Q26" s="77" t="str">
        <f t="shared" si="3"/>
        <v/>
      </c>
      <c r="R26" s="78" t="str">
        <f t="shared" si="4"/>
        <v xml:space="preserve"> </v>
      </c>
      <c r="S26" s="71" t="str">
        <f t="shared" si="5"/>
        <v/>
      </c>
      <c r="T26" s="72" t="str">
        <f t="shared" si="6"/>
        <v/>
      </c>
      <c r="U26" s="73" t="str">
        <f t="shared" si="7"/>
        <v>P</v>
      </c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64">
        <f>prelim!A27</f>
        <v>0</v>
      </c>
      <c r="B27" s="22">
        <f>prelim!B27</f>
        <v>0</v>
      </c>
      <c r="C27" s="74"/>
      <c r="D27" s="75"/>
      <c r="E27" s="75"/>
      <c r="F27" s="76"/>
      <c r="G27" s="76"/>
      <c r="H27" s="76"/>
      <c r="I27" s="76"/>
      <c r="J27" s="76"/>
      <c r="K27" s="76"/>
      <c r="L27" s="76"/>
      <c r="M27" s="67">
        <f t="shared" si="0"/>
        <v>0</v>
      </c>
      <c r="N27" s="77" t="e">
        <f t="shared" si="1"/>
        <v>#DIV/0!</v>
      </c>
      <c r="O27" s="78">
        <f t="shared" si="2"/>
        <v>0</v>
      </c>
      <c r="P27" s="54"/>
      <c r="Q27" s="77" t="str">
        <f t="shared" si="3"/>
        <v/>
      </c>
      <c r="R27" s="78" t="str">
        <f t="shared" si="4"/>
        <v xml:space="preserve"> </v>
      </c>
      <c r="S27" s="71" t="str">
        <f t="shared" si="5"/>
        <v/>
      </c>
      <c r="T27" s="72" t="str">
        <f t="shared" si="6"/>
        <v/>
      </c>
      <c r="U27" s="73" t="str">
        <f t="shared" si="7"/>
        <v>P</v>
      </c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64">
        <f>prelim!A28</f>
        <v>0</v>
      </c>
      <c r="B28" s="22">
        <f>prelim!B28</f>
        <v>0</v>
      </c>
      <c r="C28" s="74"/>
      <c r="D28" s="75"/>
      <c r="E28" s="75"/>
      <c r="F28" s="76"/>
      <c r="G28" s="76"/>
      <c r="H28" s="76"/>
      <c r="I28" s="76"/>
      <c r="J28" s="76"/>
      <c r="K28" s="76"/>
      <c r="L28" s="76"/>
      <c r="M28" s="67">
        <f t="shared" si="0"/>
        <v>0</v>
      </c>
      <c r="N28" s="77" t="e">
        <f t="shared" si="1"/>
        <v>#DIV/0!</v>
      </c>
      <c r="O28" s="78">
        <f t="shared" si="2"/>
        <v>0</v>
      </c>
      <c r="P28" s="54"/>
      <c r="Q28" s="77" t="str">
        <f t="shared" si="3"/>
        <v/>
      </c>
      <c r="R28" s="78" t="str">
        <f t="shared" si="4"/>
        <v xml:space="preserve"> </v>
      </c>
      <c r="S28" s="71" t="str">
        <f t="shared" si="5"/>
        <v/>
      </c>
      <c r="T28" s="72" t="str">
        <f t="shared" si="6"/>
        <v/>
      </c>
      <c r="U28" s="73" t="str">
        <f t="shared" si="7"/>
        <v>P</v>
      </c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64">
        <f>prelim!A29</f>
        <v>0</v>
      </c>
      <c r="B29" s="22">
        <f>prelim!B29</f>
        <v>0</v>
      </c>
      <c r="C29" s="74"/>
      <c r="D29" s="75"/>
      <c r="E29" s="75"/>
      <c r="F29" s="76"/>
      <c r="G29" s="76"/>
      <c r="H29" s="76"/>
      <c r="I29" s="76"/>
      <c r="J29" s="76"/>
      <c r="K29" s="76"/>
      <c r="L29" s="76"/>
      <c r="M29" s="67">
        <f t="shared" si="0"/>
        <v>0</v>
      </c>
      <c r="N29" s="77" t="e">
        <f t="shared" si="1"/>
        <v>#DIV/0!</v>
      </c>
      <c r="O29" s="78">
        <f t="shared" si="2"/>
        <v>0</v>
      </c>
      <c r="P29" s="54"/>
      <c r="Q29" s="77" t="str">
        <f t="shared" si="3"/>
        <v/>
      </c>
      <c r="R29" s="78" t="str">
        <f t="shared" si="4"/>
        <v xml:space="preserve"> </v>
      </c>
      <c r="S29" s="71" t="str">
        <f t="shared" si="5"/>
        <v/>
      </c>
      <c r="T29" s="72" t="str">
        <f t="shared" si="6"/>
        <v/>
      </c>
      <c r="U29" s="73" t="str">
        <f t="shared" si="7"/>
        <v>P</v>
      </c>
      <c r="V29" s="25"/>
      <c r="W29" s="25"/>
      <c r="X29" s="25"/>
      <c r="Y29" s="25"/>
      <c r="Z29" s="25"/>
      <c r="AA29" s="25"/>
      <c r="AB29" s="25"/>
      <c r="AC29" s="25"/>
    </row>
    <row r="30" spans="1:29" s="48" customFormat="1" ht="15.75" customHeight="1">
      <c r="A30" s="64">
        <f>prelim!A30</f>
        <v>0</v>
      </c>
      <c r="B30" s="22">
        <f>prelim!B30</f>
        <v>0</v>
      </c>
      <c r="C30" s="74"/>
      <c r="D30" s="75"/>
      <c r="E30" s="75"/>
      <c r="F30" s="76"/>
      <c r="G30" s="76"/>
      <c r="H30" s="76"/>
      <c r="I30" s="76"/>
      <c r="J30" s="76"/>
      <c r="K30" s="76"/>
      <c r="L30" s="76"/>
      <c r="M30" s="67">
        <f t="shared" si="0"/>
        <v>0</v>
      </c>
      <c r="N30" s="77" t="e">
        <f t="shared" si="1"/>
        <v>#DIV/0!</v>
      </c>
      <c r="O30" s="78">
        <f t="shared" si="2"/>
        <v>0</v>
      </c>
      <c r="P30" s="54"/>
      <c r="Q30" s="77" t="str">
        <f t="shared" si="3"/>
        <v/>
      </c>
      <c r="R30" s="78" t="str">
        <f t="shared" si="4"/>
        <v xml:space="preserve"> </v>
      </c>
      <c r="S30" s="71" t="str">
        <f t="shared" si="5"/>
        <v/>
      </c>
      <c r="T30" s="72" t="str">
        <f t="shared" si="6"/>
        <v/>
      </c>
      <c r="U30" s="73" t="str">
        <f t="shared" si="7"/>
        <v>P</v>
      </c>
      <c r="V30" s="47"/>
      <c r="W30" s="47"/>
      <c r="X30" s="47"/>
      <c r="Y30" s="47"/>
      <c r="Z30" s="47"/>
      <c r="AA30" s="47"/>
      <c r="AB30" s="47"/>
      <c r="AC30" s="47"/>
    </row>
    <row r="31" spans="1:29" ht="15.75" customHeight="1">
      <c r="A31" s="64">
        <f>prelim!A31</f>
        <v>0</v>
      </c>
      <c r="B31" s="22">
        <f>prelim!B31</f>
        <v>0</v>
      </c>
      <c r="C31" s="74"/>
      <c r="D31" s="75"/>
      <c r="E31" s="75"/>
      <c r="F31" s="76"/>
      <c r="G31" s="76"/>
      <c r="H31" s="76"/>
      <c r="I31" s="76"/>
      <c r="J31" s="76"/>
      <c r="K31" s="76"/>
      <c r="L31" s="76"/>
      <c r="M31" s="67">
        <f t="shared" si="0"/>
        <v>0</v>
      </c>
      <c r="N31" s="77" t="e">
        <f t="shared" si="1"/>
        <v>#DIV/0!</v>
      </c>
      <c r="O31" s="78">
        <f t="shared" si="2"/>
        <v>0</v>
      </c>
      <c r="P31" s="54"/>
      <c r="Q31" s="77" t="str">
        <f t="shared" si="3"/>
        <v/>
      </c>
      <c r="R31" s="78" t="str">
        <f t="shared" si="4"/>
        <v xml:space="preserve"> </v>
      </c>
      <c r="S31" s="71" t="str">
        <f t="shared" si="5"/>
        <v/>
      </c>
      <c r="T31" s="72" t="str">
        <f t="shared" si="6"/>
        <v/>
      </c>
      <c r="U31" s="73" t="str">
        <f t="shared" si="7"/>
        <v>P</v>
      </c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64">
        <f>prelim!A32</f>
        <v>0</v>
      </c>
      <c r="B32" s="22">
        <f>prelim!B32</f>
        <v>0</v>
      </c>
      <c r="C32" s="74"/>
      <c r="D32" s="75"/>
      <c r="E32" s="75"/>
      <c r="F32" s="76"/>
      <c r="G32" s="76"/>
      <c r="H32" s="76"/>
      <c r="I32" s="76"/>
      <c r="J32" s="76"/>
      <c r="K32" s="76"/>
      <c r="L32" s="76"/>
      <c r="M32" s="67">
        <f t="shared" si="0"/>
        <v>0</v>
      </c>
      <c r="N32" s="77" t="e">
        <f t="shared" si="1"/>
        <v>#DIV/0!</v>
      </c>
      <c r="O32" s="78">
        <f t="shared" si="2"/>
        <v>0</v>
      </c>
      <c r="P32" s="54"/>
      <c r="Q32" s="77" t="str">
        <f t="shared" si="3"/>
        <v/>
      </c>
      <c r="R32" s="78" t="str">
        <f t="shared" si="4"/>
        <v xml:space="preserve"> </v>
      </c>
      <c r="S32" s="71" t="str">
        <f t="shared" si="5"/>
        <v/>
      </c>
      <c r="T32" s="72" t="str">
        <f t="shared" si="6"/>
        <v/>
      </c>
      <c r="U32" s="73" t="str">
        <f t="shared" si="7"/>
        <v>P</v>
      </c>
      <c r="V32" s="25"/>
      <c r="W32" s="25"/>
      <c r="X32" s="25"/>
      <c r="Y32" s="25"/>
      <c r="Z32" s="25"/>
      <c r="AA32" s="25"/>
      <c r="AB32" s="25"/>
      <c r="AC32" s="25"/>
    </row>
    <row r="33" spans="1:29" s="46" customFormat="1" ht="15.75" customHeight="1">
      <c r="A33" s="64">
        <f>prelim!A33</f>
        <v>0</v>
      </c>
      <c r="B33" s="22">
        <f>prelim!B33</f>
        <v>0</v>
      </c>
      <c r="C33" s="74"/>
      <c r="D33" s="75"/>
      <c r="E33" s="75"/>
      <c r="F33" s="76"/>
      <c r="G33" s="76"/>
      <c r="H33" s="76"/>
      <c r="I33" s="76"/>
      <c r="J33" s="76"/>
      <c r="K33" s="76"/>
      <c r="L33" s="76"/>
      <c r="M33" s="67">
        <f t="shared" si="0"/>
        <v>0</v>
      </c>
      <c r="N33" s="77" t="e">
        <f t="shared" si="1"/>
        <v>#DIV/0!</v>
      </c>
      <c r="O33" s="78">
        <f t="shared" si="2"/>
        <v>0</v>
      </c>
      <c r="P33" s="54"/>
      <c r="Q33" s="77" t="str">
        <f t="shared" si="3"/>
        <v/>
      </c>
      <c r="R33" s="78" t="str">
        <f t="shared" si="4"/>
        <v xml:space="preserve"> </v>
      </c>
      <c r="S33" s="71" t="str">
        <f t="shared" si="5"/>
        <v/>
      </c>
      <c r="T33" s="72" t="str">
        <f t="shared" si="6"/>
        <v/>
      </c>
      <c r="U33" s="73" t="str">
        <f t="shared" si="7"/>
        <v>P</v>
      </c>
      <c r="V33" s="25"/>
      <c r="W33" s="45"/>
      <c r="X33" s="45"/>
      <c r="Y33" s="45"/>
      <c r="Z33" s="45"/>
      <c r="AA33" s="45"/>
      <c r="AB33" s="45"/>
      <c r="AC33" s="45"/>
    </row>
    <row r="34" spans="1:29" ht="15.75" customHeight="1">
      <c r="A34" s="64">
        <f>prelim!A34</f>
        <v>0</v>
      </c>
      <c r="B34" s="22">
        <f>prelim!B34</f>
        <v>0</v>
      </c>
      <c r="C34" s="74"/>
      <c r="D34" s="75"/>
      <c r="E34" s="75"/>
      <c r="F34" s="76"/>
      <c r="G34" s="76"/>
      <c r="H34" s="76"/>
      <c r="I34" s="76"/>
      <c r="J34" s="76"/>
      <c r="K34" s="76"/>
      <c r="L34" s="76"/>
      <c r="M34" s="67">
        <f t="shared" si="0"/>
        <v>0</v>
      </c>
      <c r="N34" s="77" t="e">
        <f t="shared" si="1"/>
        <v>#DIV/0!</v>
      </c>
      <c r="O34" s="78">
        <f t="shared" si="2"/>
        <v>0</v>
      </c>
      <c r="P34" s="54"/>
      <c r="Q34" s="77" t="str">
        <f t="shared" si="3"/>
        <v/>
      </c>
      <c r="R34" s="78" t="str">
        <f t="shared" si="4"/>
        <v xml:space="preserve"> </v>
      </c>
      <c r="S34" s="71" t="str">
        <f t="shared" si="5"/>
        <v/>
      </c>
      <c r="T34" s="72" t="str">
        <f t="shared" si="6"/>
        <v/>
      </c>
      <c r="U34" s="73" t="str">
        <f t="shared" si="7"/>
        <v>P</v>
      </c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64">
        <f>prelim!A35</f>
        <v>0</v>
      </c>
      <c r="B35" s="22">
        <f>prelim!B35</f>
        <v>0</v>
      </c>
      <c r="C35" s="74"/>
      <c r="D35" s="75"/>
      <c r="E35" s="75"/>
      <c r="F35" s="76"/>
      <c r="G35" s="76"/>
      <c r="H35" s="76"/>
      <c r="I35" s="76"/>
      <c r="J35" s="76"/>
      <c r="K35" s="76"/>
      <c r="L35" s="76"/>
      <c r="M35" s="67">
        <f t="shared" si="0"/>
        <v>0</v>
      </c>
      <c r="N35" s="77" t="e">
        <f t="shared" si="1"/>
        <v>#DIV/0!</v>
      </c>
      <c r="O35" s="78">
        <f t="shared" si="2"/>
        <v>0</v>
      </c>
      <c r="P35" s="54"/>
      <c r="Q35" s="77" t="str">
        <f t="shared" si="3"/>
        <v/>
      </c>
      <c r="R35" s="78" t="str">
        <f t="shared" si="4"/>
        <v xml:space="preserve"> </v>
      </c>
      <c r="S35" s="71" t="str">
        <f t="shared" si="5"/>
        <v/>
      </c>
      <c r="T35" s="72" t="str">
        <f t="shared" si="6"/>
        <v/>
      </c>
      <c r="U35" s="73" t="str">
        <f t="shared" si="7"/>
        <v>P</v>
      </c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64">
        <f>prelim!A36</f>
        <v>0</v>
      </c>
      <c r="B36" s="22">
        <f>prelim!B36</f>
        <v>0</v>
      </c>
      <c r="C36" s="74"/>
      <c r="D36" s="75"/>
      <c r="E36" s="75"/>
      <c r="F36" s="76"/>
      <c r="G36" s="76"/>
      <c r="H36" s="76"/>
      <c r="I36" s="76"/>
      <c r="J36" s="76"/>
      <c r="K36" s="76"/>
      <c r="L36" s="76"/>
      <c r="M36" s="67">
        <f t="shared" si="0"/>
        <v>0</v>
      </c>
      <c r="N36" s="77" t="e">
        <f t="shared" si="1"/>
        <v>#DIV/0!</v>
      </c>
      <c r="O36" s="78">
        <f t="shared" si="2"/>
        <v>0</v>
      </c>
      <c r="P36" s="54"/>
      <c r="Q36" s="77" t="str">
        <f t="shared" si="3"/>
        <v/>
      </c>
      <c r="R36" s="78" t="str">
        <f t="shared" si="4"/>
        <v xml:space="preserve"> </v>
      </c>
      <c r="S36" s="71" t="str">
        <f t="shared" si="5"/>
        <v/>
      </c>
      <c r="T36" s="72" t="str">
        <f t="shared" si="6"/>
        <v/>
      </c>
      <c r="U36" s="73" t="str">
        <f t="shared" si="7"/>
        <v>P</v>
      </c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64">
        <f>prelim!A37</f>
        <v>0</v>
      </c>
      <c r="B37" s="22">
        <f>prelim!B37</f>
        <v>0</v>
      </c>
      <c r="C37" s="74"/>
      <c r="D37" s="75"/>
      <c r="E37" s="75"/>
      <c r="F37" s="76"/>
      <c r="G37" s="76"/>
      <c r="H37" s="76"/>
      <c r="I37" s="76"/>
      <c r="J37" s="76"/>
      <c r="K37" s="76"/>
      <c r="L37" s="76"/>
      <c r="M37" s="67">
        <f t="shared" si="0"/>
        <v>0</v>
      </c>
      <c r="N37" s="77" t="e">
        <f t="shared" si="1"/>
        <v>#DIV/0!</v>
      </c>
      <c r="O37" s="78">
        <f t="shared" si="2"/>
        <v>0</v>
      </c>
      <c r="P37" s="54"/>
      <c r="Q37" s="77" t="str">
        <f t="shared" si="3"/>
        <v/>
      </c>
      <c r="R37" s="78" t="str">
        <f t="shared" si="4"/>
        <v xml:space="preserve"> </v>
      </c>
      <c r="S37" s="71" t="str">
        <f t="shared" si="5"/>
        <v/>
      </c>
      <c r="T37" s="72" t="str">
        <f t="shared" si="6"/>
        <v/>
      </c>
      <c r="U37" s="73" t="str">
        <f t="shared" si="7"/>
        <v>P</v>
      </c>
      <c r="V37" s="25"/>
      <c r="W37" s="25"/>
      <c r="X37" s="25"/>
      <c r="Y37" s="25"/>
      <c r="Z37" s="25"/>
      <c r="AA37" s="25"/>
      <c r="AB37" s="25"/>
      <c r="AC37" s="25"/>
    </row>
    <row r="38" spans="1:29" s="49" customFormat="1" ht="15.75" customHeight="1">
      <c r="A38" s="64">
        <f>prelim!A38</f>
        <v>0</v>
      </c>
      <c r="B38" s="22">
        <f>prelim!B38</f>
        <v>0</v>
      </c>
      <c r="C38" s="74"/>
      <c r="D38" s="75"/>
      <c r="E38" s="75"/>
      <c r="F38" s="76"/>
      <c r="G38" s="76"/>
      <c r="H38" s="76"/>
      <c r="I38" s="76"/>
      <c r="J38" s="76"/>
      <c r="K38" s="76"/>
      <c r="L38" s="76"/>
      <c r="M38" s="67">
        <f t="shared" si="0"/>
        <v>0</v>
      </c>
      <c r="N38" s="77" t="e">
        <f t="shared" si="1"/>
        <v>#DIV/0!</v>
      </c>
      <c r="O38" s="78">
        <f t="shared" si="2"/>
        <v>0</v>
      </c>
      <c r="P38" s="54"/>
      <c r="Q38" s="77" t="str">
        <f t="shared" si="3"/>
        <v/>
      </c>
      <c r="R38" s="78" t="str">
        <f t="shared" si="4"/>
        <v xml:space="preserve"> </v>
      </c>
      <c r="S38" s="71" t="str">
        <f t="shared" si="5"/>
        <v/>
      </c>
      <c r="T38" s="72" t="str">
        <f t="shared" si="6"/>
        <v/>
      </c>
      <c r="U38" s="73" t="str">
        <f t="shared" si="7"/>
        <v>P</v>
      </c>
      <c r="V38" s="45"/>
      <c r="W38" s="45"/>
      <c r="X38" s="45"/>
      <c r="Y38" s="45"/>
      <c r="Z38" s="45"/>
      <c r="AA38" s="45"/>
      <c r="AB38" s="45"/>
      <c r="AC38" s="45"/>
    </row>
    <row r="39" spans="1:29" ht="15.75" customHeight="1">
      <c r="A39" s="64">
        <f>prelim!A39</f>
        <v>0</v>
      </c>
      <c r="B39" s="22">
        <f>prelim!B39</f>
        <v>0</v>
      </c>
      <c r="C39" s="74"/>
      <c r="D39" s="75"/>
      <c r="E39" s="75"/>
      <c r="F39" s="76"/>
      <c r="G39" s="76"/>
      <c r="H39" s="76"/>
      <c r="I39" s="76"/>
      <c r="J39" s="76"/>
      <c r="K39" s="76"/>
      <c r="L39" s="76"/>
      <c r="M39" s="67">
        <f t="shared" si="0"/>
        <v>0</v>
      </c>
      <c r="N39" s="77" t="e">
        <f t="shared" si="1"/>
        <v>#DIV/0!</v>
      </c>
      <c r="O39" s="78">
        <f t="shared" si="2"/>
        <v>0</v>
      </c>
      <c r="P39" s="54"/>
      <c r="Q39" s="77" t="str">
        <f t="shared" si="3"/>
        <v/>
      </c>
      <c r="R39" s="78" t="str">
        <f t="shared" si="4"/>
        <v xml:space="preserve"> </v>
      </c>
      <c r="S39" s="71" t="str">
        <f t="shared" si="5"/>
        <v/>
      </c>
      <c r="T39" s="72" t="str">
        <f t="shared" si="6"/>
        <v/>
      </c>
      <c r="U39" s="73" t="str">
        <f t="shared" si="7"/>
        <v>P</v>
      </c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64">
        <f>prelim!A40</f>
        <v>0</v>
      </c>
      <c r="B40" s="22">
        <f>prelim!B40</f>
        <v>0</v>
      </c>
      <c r="C40" s="74"/>
      <c r="D40" s="75"/>
      <c r="E40" s="75"/>
      <c r="F40" s="76"/>
      <c r="G40" s="76"/>
      <c r="H40" s="76"/>
      <c r="I40" s="76"/>
      <c r="J40" s="76"/>
      <c r="K40" s="76"/>
      <c r="L40" s="76"/>
      <c r="M40" s="67">
        <f t="shared" si="0"/>
        <v>0</v>
      </c>
      <c r="N40" s="77" t="e">
        <f t="shared" si="1"/>
        <v>#DIV/0!</v>
      </c>
      <c r="O40" s="78">
        <f t="shared" si="2"/>
        <v>0</v>
      </c>
      <c r="P40" s="54"/>
      <c r="Q40" s="77" t="str">
        <f t="shared" si="3"/>
        <v/>
      </c>
      <c r="R40" s="78" t="str">
        <f t="shared" si="4"/>
        <v xml:space="preserve"> </v>
      </c>
      <c r="S40" s="71" t="str">
        <f t="shared" si="5"/>
        <v/>
      </c>
      <c r="T40" s="72" t="str">
        <f t="shared" si="6"/>
        <v/>
      </c>
      <c r="U40" s="73" t="str">
        <f t="shared" si="7"/>
        <v>P</v>
      </c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64">
        <f>prelim!A41</f>
        <v>0</v>
      </c>
      <c r="B41" s="22">
        <f>prelim!B41</f>
        <v>0</v>
      </c>
      <c r="C41" s="74"/>
      <c r="D41" s="75"/>
      <c r="E41" s="75"/>
      <c r="F41" s="76"/>
      <c r="G41" s="76"/>
      <c r="H41" s="76"/>
      <c r="I41" s="76"/>
      <c r="J41" s="76"/>
      <c r="K41" s="76"/>
      <c r="L41" s="76"/>
      <c r="M41" s="67">
        <f t="shared" si="0"/>
        <v>0</v>
      </c>
      <c r="N41" s="77" t="e">
        <f t="shared" si="1"/>
        <v>#DIV/0!</v>
      </c>
      <c r="O41" s="78">
        <f t="shared" si="2"/>
        <v>0</v>
      </c>
      <c r="P41" s="54"/>
      <c r="Q41" s="77" t="str">
        <f t="shared" si="3"/>
        <v/>
      </c>
      <c r="R41" s="78" t="str">
        <f t="shared" si="4"/>
        <v xml:space="preserve"> </v>
      </c>
      <c r="S41" s="71" t="str">
        <f t="shared" si="5"/>
        <v/>
      </c>
      <c r="T41" s="72" t="str">
        <f t="shared" si="6"/>
        <v/>
      </c>
      <c r="U41" s="73" t="str">
        <f t="shared" si="7"/>
        <v>P</v>
      </c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64">
        <f>prelim!A42</f>
        <v>0</v>
      </c>
      <c r="B42" s="22">
        <f>prelim!B42</f>
        <v>0</v>
      </c>
      <c r="C42" s="74"/>
      <c r="D42" s="75"/>
      <c r="E42" s="75"/>
      <c r="F42" s="76"/>
      <c r="G42" s="76"/>
      <c r="H42" s="76"/>
      <c r="I42" s="76"/>
      <c r="J42" s="76"/>
      <c r="K42" s="76"/>
      <c r="L42" s="76"/>
      <c r="M42" s="67">
        <f t="shared" si="0"/>
        <v>0</v>
      </c>
      <c r="N42" s="77" t="e">
        <f t="shared" si="1"/>
        <v>#DIV/0!</v>
      </c>
      <c r="O42" s="78">
        <f t="shared" si="2"/>
        <v>0</v>
      </c>
      <c r="P42" s="54"/>
      <c r="Q42" s="77" t="str">
        <f t="shared" si="3"/>
        <v/>
      </c>
      <c r="R42" s="78" t="str">
        <f t="shared" si="4"/>
        <v xml:space="preserve"> </v>
      </c>
      <c r="S42" s="71" t="str">
        <f t="shared" si="5"/>
        <v/>
      </c>
      <c r="T42" s="72" t="str">
        <f t="shared" si="6"/>
        <v/>
      </c>
      <c r="U42" s="73" t="str">
        <f t="shared" si="7"/>
        <v>P</v>
      </c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64">
        <f>prelim!A43</f>
        <v>0</v>
      </c>
      <c r="B43" s="22">
        <f>prelim!B43</f>
        <v>0</v>
      </c>
      <c r="C43" s="74"/>
      <c r="D43" s="75"/>
      <c r="E43" s="75"/>
      <c r="F43" s="76"/>
      <c r="G43" s="76"/>
      <c r="H43" s="76"/>
      <c r="I43" s="76"/>
      <c r="J43" s="76"/>
      <c r="K43" s="76"/>
      <c r="L43" s="76"/>
      <c r="M43" s="67">
        <f t="shared" si="0"/>
        <v>0</v>
      </c>
      <c r="N43" s="77" t="e">
        <f t="shared" si="1"/>
        <v>#DIV/0!</v>
      </c>
      <c r="O43" s="78">
        <f t="shared" si="2"/>
        <v>0</v>
      </c>
      <c r="P43" s="54"/>
      <c r="Q43" s="77" t="str">
        <f t="shared" si="3"/>
        <v/>
      </c>
      <c r="R43" s="78" t="str">
        <f t="shared" si="4"/>
        <v xml:space="preserve"> </v>
      </c>
      <c r="S43" s="71" t="str">
        <f t="shared" si="5"/>
        <v/>
      </c>
      <c r="T43" s="72" t="str">
        <f t="shared" si="6"/>
        <v/>
      </c>
      <c r="U43" s="73" t="str">
        <f t="shared" si="7"/>
        <v>P</v>
      </c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64">
        <f>prelim!A44</f>
        <v>0</v>
      </c>
      <c r="B44" s="22">
        <f>prelim!B44</f>
        <v>0</v>
      </c>
      <c r="C44" s="74"/>
      <c r="D44" s="75"/>
      <c r="E44" s="75"/>
      <c r="F44" s="76"/>
      <c r="G44" s="76"/>
      <c r="H44" s="76"/>
      <c r="I44" s="76"/>
      <c r="J44" s="76"/>
      <c r="K44" s="76"/>
      <c r="L44" s="76"/>
      <c r="M44" s="67">
        <f t="shared" si="0"/>
        <v>0</v>
      </c>
      <c r="N44" s="77" t="e">
        <f t="shared" si="1"/>
        <v>#DIV/0!</v>
      </c>
      <c r="O44" s="78">
        <f t="shared" si="2"/>
        <v>0</v>
      </c>
      <c r="P44" s="54"/>
      <c r="Q44" s="77" t="str">
        <f t="shared" si="3"/>
        <v/>
      </c>
      <c r="R44" s="78" t="str">
        <f t="shared" si="4"/>
        <v xml:space="preserve"> </v>
      </c>
      <c r="S44" s="71" t="str">
        <f t="shared" si="5"/>
        <v/>
      </c>
      <c r="T44" s="72" t="str">
        <f t="shared" si="6"/>
        <v/>
      </c>
      <c r="U44" s="73" t="str">
        <f t="shared" si="7"/>
        <v>P</v>
      </c>
      <c r="V44" s="25"/>
      <c r="W44" s="25"/>
      <c r="X44" s="25"/>
      <c r="Y44" s="25"/>
      <c r="Z44" s="25"/>
      <c r="AA44" s="25"/>
      <c r="AB44" s="25"/>
      <c r="AC44" s="25"/>
    </row>
    <row r="45" spans="1:29" s="48" customFormat="1" ht="15.75" customHeight="1">
      <c r="A45" s="64">
        <f>prelim!A45</f>
        <v>0</v>
      </c>
      <c r="B45" s="22">
        <f>prelim!B45</f>
        <v>0</v>
      </c>
      <c r="C45" s="74"/>
      <c r="D45" s="75"/>
      <c r="E45" s="75"/>
      <c r="F45" s="76"/>
      <c r="G45" s="76"/>
      <c r="H45" s="76"/>
      <c r="I45" s="76"/>
      <c r="J45" s="76"/>
      <c r="K45" s="76"/>
      <c r="L45" s="76"/>
      <c r="M45" s="67">
        <f t="shared" si="0"/>
        <v>0</v>
      </c>
      <c r="N45" s="77" t="e">
        <f t="shared" si="1"/>
        <v>#DIV/0!</v>
      </c>
      <c r="O45" s="78">
        <f t="shared" si="2"/>
        <v>0</v>
      </c>
      <c r="P45" s="54"/>
      <c r="Q45" s="77" t="str">
        <f t="shared" si="3"/>
        <v/>
      </c>
      <c r="R45" s="78" t="str">
        <f t="shared" si="4"/>
        <v xml:space="preserve"> </v>
      </c>
      <c r="S45" s="71" t="str">
        <f t="shared" si="5"/>
        <v/>
      </c>
      <c r="T45" s="72" t="str">
        <f t="shared" si="6"/>
        <v/>
      </c>
      <c r="U45" s="73" t="str">
        <f t="shared" si="7"/>
        <v>P</v>
      </c>
      <c r="V45" s="47"/>
      <c r="W45" s="47"/>
      <c r="X45" s="47"/>
      <c r="Y45" s="47"/>
      <c r="Z45" s="47"/>
      <c r="AA45" s="47"/>
      <c r="AB45" s="47"/>
      <c r="AC45" s="47"/>
    </row>
    <row r="46" spans="1:29" s="49" customFormat="1" ht="15.75" customHeight="1">
      <c r="A46" s="64">
        <f>prelim!A46</f>
        <v>0</v>
      </c>
      <c r="B46" s="22">
        <f>prelim!B46</f>
        <v>0</v>
      </c>
      <c r="C46" s="74"/>
      <c r="D46" s="75"/>
      <c r="E46" s="75"/>
      <c r="F46" s="76"/>
      <c r="G46" s="76"/>
      <c r="H46" s="76"/>
      <c r="I46" s="76"/>
      <c r="J46" s="76"/>
      <c r="K46" s="76"/>
      <c r="L46" s="76"/>
      <c r="M46" s="67">
        <f t="shared" si="0"/>
        <v>0</v>
      </c>
      <c r="N46" s="77" t="e">
        <f t="shared" si="1"/>
        <v>#DIV/0!</v>
      </c>
      <c r="O46" s="78">
        <f t="shared" si="2"/>
        <v>0</v>
      </c>
      <c r="P46" s="54"/>
      <c r="Q46" s="77" t="str">
        <f t="shared" si="3"/>
        <v/>
      </c>
      <c r="R46" s="78" t="str">
        <f t="shared" si="4"/>
        <v xml:space="preserve"> </v>
      </c>
      <c r="S46" s="71" t="str">
        <f t="shared" si="5"/>
        <v/>
      </c>
      <c r="T46" s="72" t="str">
        <f t="shared" si="6"/>
        <v/>
      </c>
      <c r="U46" s="73" t="str">
        <f t="shared" si="7"/>
        <v>P</v>
      </c>
      <c r="V46" s="45"/>
      <c r="W46" s="45"/>
      <c r="X46" s="45"/>
      <c r="Y46" s="45"/>
      <c r="Z46" s="45"/>
      <c r="AA46" s="45"/>
      <c r="AB46" s="45"/>
      <c r="AC46" s="45"/>
    </row>
    <row r="47" spans="1:29" ht="15.75" customHeight="1">
      <c r="A47" s="64">
        <f>prelim!A47</f>
        <v>0</v>
      </c>
      <c r="B47" s="22">
        <f>prelim!B47</f>
        <v>0</v>
      </c>
      <c r="C47" s="74"/>
      <c r="D47" s="75"/>
      <c r="E47" s="75"/>
      <c r="F47" s="76"/>
      <c r="G47" s="76"/>
      <c r="H47" s="76"/>
      <c r="I47" s="76"/>
      <c r="J47" s="76"/>
      <c r="K47" s="76"/>
      <c r="L47" s="76"/>
      <c r="M47" s="67">
        <f t="shared" si="0"/>
        <v>0</v>
      </c>
      <c r="N47" s="77" t="e">
        <f t="shared" si="1"/>
        <v>#DIV/0!</v>
      </c>
      <c r="O47" s="78">
        <f t="shared" si="2"/>
        <v>0</v>
      </c>
      <c r="P47" s="54"/>
      <c r="Q47" s="77" t="str">
        <f t="shared" si="3"/>
        <v/>
      </c>
      <c r="R47" s="78" t="str">
        <f t="shared" si="4"/>
        <v xml:space="preserve"> </v>
      </c>
      <c r="S47" s="71" t="str">
        <f t="shared" si="5"/>
        <v/>
      </c>
      <c r="T47" s="72" t="str">
        <f t="shared" si="6"/>
        <v/>
      </c>
      <c r="U47" s="73" t="str">
        <f t="shared" si="7"/>
        <v>P</v>
      </c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64">
        <f>prelim!A48</f>
        <v>0</v>
      </c>
      <c r="B48" s="22">
        <f>prelim!B48</f>
        <v>0</v>
      </c>
      <c r="C48" s="74"/>
      <c r="D48" s="75"/>
      <c r="E48" s="75"/>
      <c r="F48" s="76"/>
      <c r="G48" s="76"/>
      <c r="H48" s="76"/>
      <c r="I48" s="76"/>
      <c r="J48" s="76"/>
      <c r="K48" s="76"/>
      <c r="L48" s="76"/>
      <c r="M48" s="67">
        <f t="shared" si="0"/>
        <v>0</v>
      </c>
      <c r="N48" s="77" t="e">
        <f t="shared" si="1"/>
        <v>#DIV/0!</v>
      </c>
      <c r="O48" s="78">
        <f t="shared" si="2"/>
        <v>0</v>
      </c>
      <c r="P48" s="54"/>
      <c r="Q48" s="77" t="str">
        <f t="shared" si="3"/>
        <v/>
      </c>
      <c r="R48" s="78" t="str">
        <f t="shared" si="4"/>
        <v xml:space="preserve"> </v>
      </c>
      <c r="S48" s="71" t="str">
        <f t="shared" si="5"/>
        <v/>
      </c>
      <c r="T48" s="72" t="str">
        <f t="shared" si="6"/>
        <v/>
      </c>
      <c r="U48" s="73" t="str">
        <f t="shared" si="7"/>
        <v>P</v>
      </c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64">
        <f>prelim!A49</f>
        <v>0</v>
      </c>
      <c r="B49" s="22">
        <f>prelim!B49</f>
        <v>0</v>
      </c>
      <c r="C49" s="74"/>
      <c r="D49" s="75"/>
      <c r="E49" s="75"/>
      <c r="F49" s="76"/>
      <c r="G49" s="76"/>
      <c r="H49" s="76"/>
      <c r="I49" s="76"/>
      <c r="J49" s="76"/>
      <c r="K49" s="76"/>
      <c r="L49" s="76"/>
      <c r="M49" s="67">
        <f t="shared" si="0"/>
        <v>0</v>
      </c>
      <c r="N49" s="77" t="e">
        <f t="shared" si="1"/>
        <v>#DIV/0!</v>
      </c>
      <c r="O49" s="78">
        <f t="shared" si="2"/>
        <v>0</v>
      </c>
      <c r="P49" s="54"/>
      <c r="Q49" s="77" t="str">
        <f t="shared" si="3"/>
        <v/>
      </c>
      <c r="R49" s="78" t="str">
        <f t="shared" si="4"/>
        <v xml:space="preserve"> </v>
      </c>
      <c r="S49" s="71" t="str">
        <f t="shared" si="5"/>
        <v/>
      </c>
      <c r="T49" s="72" t="str">
        <f t="shared" si="6"/>
        <v/>
      </c>
      <c r="U49" s="73" t="str">
        <f t="shared" si="7"/>
        <v>P</v>
      </c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64">
        <f>prelim!A50</f>
        <v>0</v>
      </c>
      <c r="B50" s="22">
        <f>prelim!B50</f>
        <v>0</v>
      </c>
      <c r="C50" s="74"/>
      <c r="D50" s="75"/>
      <c r="E50" s="75"/>
      <c r="F50" s="76"/>
      <c r="G50" s="76"/>
      <c r="H50" s="76"/>
      <c r="I50" s="76"/>
      <c r="J50" s="76"/>
      <c r="K50" s="76"/>
      <c r="L50" s="76"/>
      <c r="M50" s="67">
        <f t="shared" si="0"/>
        <v>0</v>
      </c>
      <c r="N50" s="77" t="e">
        <f t="shared" si="1"/>
        <v>#DIV/0!</v>
      </c>
      <c r="O50" s="78">
        <f t="shared" si="2"/>
        <v>0</v>
      </c>
      <c r="P50" s="54"/>
      <c r="Q50" s="77" t="str">
        <f t="shared" si="3"/>
        <v/>
      </c>
      <c r="R50" s="78" t="str">
        <f t="shared" si="4"/>
        <v xml:space="preserve"> </v>
      </c>
      <c r="S50" s="71" t="str">
        <f t="shared" si="5"/>
        <v/>
      </c>
      <c r="T50" s="72" t="str">
        <f t="shared" si="6"/>
        <v/>
      </c>
      <c r="U50" s="73" t="str">
        <f t="shared" si="7"/>
        <v>P</v>
      </c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64">
        <f>prelim!A51</f>
        <v>0</v>
      </c>
      <c r="B51" s="22">
        <f>prelim!B51</f>
        <v>0</v>
      </c>
      <c r="C51" s="74"/>
      <c r="D51" s="75"/>
      <c r="E51" s="75"/>
      <c r="F51" s="76"/>
      <c r="G51" s="76"/>
      <c r="H51" s="76"/>
      <c r="I51" s="76"/>
      <c r="J51" s="76"/>
      <c r="K51" s="76"/>
      <c r="L51" s="76"/>
      <c r="M51" s="67">
        <f t="shared" si="0"/>
        <v>0</v>
      </c>
      <c r="N51" s="77" t="e">
        <f t="shared" si="1"/>
        <v>#DIV/0!</v>
      </c>
      <c r="O51" s="78">
        <f t="shared" si="2"/>
        <v>0</v>
      </c>
      <c r="P51" s="54"/>
      <c r="Q51" s="77" t="str">
        <f t="shared" si="3"/>
        <v/>
      </c>
      <c r="R51" s="78" t="str">
        <f t="shared" si="4"/>
        <v xml:space="preserve"> </v>
      </c>
      <c r="S51" s="71" t="str">
        <f t="shared" si="5"/>
        <v/>
      </c>
      <c r="T51" s="72" t="str">
        <f t="shared" si="6"/>
        <v/>
      </c>
      <c r="U51" s="73" t="str">
        <f t="shared" si="7"/>
        <v>P</v>
      </c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64">
        <f>prelim!A52</f>
        <v>0</v>
      </c>
      <c r="B52" s="22">
        <f>prelim!B52</f>
        <v>0</v>
      </c>
      <c r="C52" s="74"/>
      <c r="D52" s="75"/>
      <c r="E52" s="75"/>
      <c r="F52" s="76"/>
      <c r="G52" s="76"/>
      <c r="H52" s="76"/>
      <c r="I52" s="76"/>
      <c r="J52" s="76"/>
      <c r="K52" s="76"/>
      <c r="L52" s="76"/>
      <c r="M52" s="67">
        <f t="shared" si="0"/>
        <v>0</v>
      </c>
      <c r="N52" s="77" t="e">
        <f t="shared" si="1"/>
        <v>#DIV/0!</v>
      </c>
      <c r="O52" s="78">
        <f t="shared" si="2"/>
        <v>0</v>
      </c>
      <c r="P52" s="54"/>
      <c r="Q52" s="77" t="str">
        <f t="shared" si="3"/>
        <v/>
      </c>
      <c r="R52" s="78" t="str">
        <f t="shared" si="4"/>
        <v xml:space="preserve"> </v>
      </c>
      <c r="S52" s="71" t="str">
        <f t="shared" si="5"/>
        <v/>
      </c>
      <c r="T52" s="72" t="str">
        <f t="shared" si="6"/>
        <v/>
      </c>
      <c r="U52" s="73" t="str">
        <f t="shared" si="7"/>
        <v>P</v>
      </c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64">
        <f>prelim!A53</f>
        <v>0</v>
      </c>
      <c r="B53" s="22">
        <f>prelim!B53</f>
        <v>0</v>
      </c>
      <c r="C53" s="74"/>
      <c r="D53" s="75"/>
      <c r="E53" s="75"/>
      <c r="F53" s="76"/>
      <c r="G53" s="76"/>
      <c r="H53" s="76"/>
      <c r="I53" s="76"/>
      <c r="J53" s="76"/>
      <c r="K53" s="76"/>
      <c r="L53" s="76"/>
      <c r="M53" s="67">
        <f t="shared" si="0"/>
        <v>0</v>
      </c>
      <c r="N53" s="77" t="e">
        <f t="shared" si="1"/>
        <v>#DIV/0!</v>
      </c>
      <c r="O53" s="78">
        <f t="shared" si="2"/>
        <v>0</v>
      </c>
      <c r="P53" s="54"/>
      <c r="Q53" s="77" t="str">
        <f>IF(OR(P53="",$P$16=""),"",IF(P53&gt;=$P$16/2,ROUND(100+(50*(P53-$P$16))/$P$16,0),ROUND(75+(20*(P53-$P$16/2)/$P$16),0)))</f>
        <v/>
      </c>
      <c r="R53" s="78" t="str">
        <f t="shared" si="4"/>
        <v xml:space="preserve"> </v>
      </c>
      <c r="S53" s="71" t="str">
        <f t="shared" si="5"/>
        <v/>
      </c>
      <c r="T53" s="72" t="str">
        <f t="shared" si="6"/>
        <v/>
      </c>
      <c r="U53" s="73" t="str">
        <f t="shared" si="7"/>
        <v>P</v>
      </c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64">
        <f>prelim!A54</f>
        <v>0</v>
      </c>
      <c r="B54" s="22">
        <f>prelim!B54</f>
        <v>0</v>
      </c>
      <c r="C54" s="74"/>
      <c r="D54" s="75"/>
      <c r="E54" s="75"/>
      <c r="F54" s="76"/>
      <c r="G54" s="76"/>
      <c r="H54" s="76"/>
      <c r="I54" s="76"/>
      <c r="J54" s="76"/>
      <c r="K54" s="76"/>
      <c r="L54" s="76"/>
      <c r="M54" s="67">
        <f t="shared" si="0"/>
        <v>0</v>
      </c>
      <c r="N54" s="77" t="e">
        <f t="shared" si="1"/>
        <v>#DIV/0!</v>
      </c>
      <c r="O54" s="78">
        <f t="shared" si="2"/>
        <v>0</v>
      </c>
      <c r="P54" s="54"/>
      <c r="Q54" s="77" t="str">
        <f>IF(OR(P54="",$P$16=""),"",IF(P54&gt;=$P$16/2,ROUND(100+(50*(P54-$P$16))/$P$16,0),ROUND(75+(20*(P54-$P$16/2)/$P$16),0)))</f>
        <v/>
      </c>
      <c r="R54" s="78" t="str">
        <f t="shared" si="4"/>
        <v xml:space="preserve"> </v>
      </c>
      <c r="S54" s="71" t="str">
        <f t="shared" si="5"/>
        <v/>
      </c>
      <c r="T54" s="72" t="str">
        <f t="shared" si="6"/>
        <v/>
      </c>
      <c r="U54" s="73" t="str">
        <f t="shared" si="7"/>
        <v>P</v>
      </c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64">
        <f>prelim!A55</f>
        <v>0</v>
      </c>
      <c r="B55" s="22">
        <f>prelim!B55</f>
        <v>0</v>
      </c>
      <c r="C55" s="74"/>
      <c r="D55" s="75"/>
      <c r="E55" s="75"/>
      <c r="F55" s="76"/>
      <c r="G55" s="76"/>
      <c r="H55" s="76"/>
      <c r="I55" s="76"/>
      <c r="J55" s="76"/>
      <c r="K55" s="76"/>
      <c r="L55" s="76"/>
      <c r="M55" s="67">
        <f t="shared" si="0"/>
        <v>0</v>
      </c>
      <c r="N55" s="77" t="e">
        <f t="shared" si="1"/>
        <v>#DIV/0!</v>
      </c>
      <c r="O55" s="78">
        <f t="shared" si="2"/>
        <v>0</v>
      </c>
      <c r="P55" s="54"/>
      <c r="Q55" s="77" t="str">
        <f>IF(OR(P55="",$P$16=""),"",IF(P55&gt;=$P$16/2,ROUND(100+(50*(P55-$P$16))/$P$16,0),ROUND(75+(20*(P55-$P$16/2)/$P$16),0)))</f>
        <v/>
      </c>
      <c r="R55" s="78" t="str">
        <f t="shared" si="4"/>
        <v xml:space="preserve"> </v>
      </c>
      <c r="S55" s="71" t="str">
        <f t="shared" si="5"/>
        <v/>
      </c>
      <c r="T55" s="72" t="str">
        <f t="shared" si="6"/>
        <v/>
      </c>
      <c r="U55" s="73" t="str">
        <f t="shared" si="7"/>
        <v>P</v>
      </c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64">
        <f>prelim!A56</f>
        <v>0</v>
      </c>
      <c r="B56" s="22">
        <f>prelim!B56</f>
        <v>0</v>
      </c>
      <c r="C56" s="74"/>
      <c r="D56" s="75"/>
      <c r="E56" s="75"/>
      <c r="F56" s="76"/>
      <c r="G56" s="76"/>
      <c r="H56" s="76"/>
      <c r="I56" s="76"/>
      <c r="J56" s="76"/>
      <c r="K56" s="76"/>
      <c r="L56" s="76"/>
      <c r="M56" s="67">
        <f t="shared" si="0"/>
        <v>0</v>
      </c>
      <c r="N56" s="77" t="e">
        <f t="shared" si="1"/>
        <v>#DIV/0!</v>
      </c>
      <c r="O56" s="78">
        <f t="shared" si="2"/>
        <v>0</v>
      </c>
      <c r="P56" s="54"/>
      <c r="Q56" s="77" t="str">
        <f>IF(OR(P56="",$P$16=""),"",IF(P56&gt;=$P$16/2,ROUND(100+(50*(P56-$P$16))/$P$16,0),ROUND(75+(20*(P56-$P$16/2)/$P$16),0)))</f>
        <v/>
      </c>
      <c r="R56" s="78" t="str">
        <f t="shared" si="4"/>
        <v xml:space="preserve"> </v>
      </c>
      <c r="S56" s="71" t="str">
        <f t="shared" si="5"/>
        <v/>
      </c>
      <c r="T56" s="72" t="str">
        <f t="shared" si="6"/>
        <v/>
      </c>
      <c r="U56" s="73" t="str">
        <f t="shared" si="7"/>
        <v>P</v>
      </c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3"/>
      <c r="B57" s="24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38"/>
      <c r="U57" s="38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3"/>
      <c r="B58" s="173" t="s">
        <v>16</v>
      </c>
      <c r="C58" s="119"/>
      <c r="D58" s="119"/>
      <c r="E58" s="119"/>
      <c r="F58" s="119"/>
      <c r="G58" s="119"/>
      <c r="H58" s="119"/>
      <c r="I58" s="119"/>
      <c r="J58" s="119"/>
      <c r="K58" s="173" t="s">
        <v>17</v>
      </c>
      <c r="L58" s="119"/>
      <c r="M58" s="119"/>
      <c r="N58" s="119"/>
      <c r="O58" s="119"/>
      <c r="P58" s="119"/>
      <c r="Q58" s="119"/>
      <c r="R58" s="119"/>
      <c r="S58" s="119"/>
      <c r="T58" s="119"/>
      <c r="U58" s="114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3"/>
      <c r="B59" s="162" t="s">
        <v>60</v>
      </c>
      <c r="C59" s="197"/>
      <c r="D59" s="197"/>
      <c r="E59" s="197"/>
      <c r="F59" s="197"/>
      <c r="G59" s="197"/>
      <c r="H59" s="197"/>
      <c r="I59" s="197"/>
      <c r="J59" s="197"/>
      <c r="K59" s="162" t="s">
        <v>59</v>
      </c>
      <c r="L59" s="199"/>
      <c r="M59" s="199"/>
      <c r="N59" s="199"/>
      <c r="O59" s="199"/>
      <c r="P59" s="199"/>
      <c r="Q59" s="199"/>
      <c r="R59" s="199"/>
      <c r="S59" s="199"/>
      <c r="T59" s="199"/>
      <c r="U59" s="200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198"/>
      <c r="C60" s="127"/>
      <c r="D60" s="127"/>
      <c r="E60" s="127"/>
      <c r="F60" s="127"/>
      <c r="G60" s="127"/>
      <c r="H60" s="127"/>
      <c r="I60" s="127"/>
      <c r="J60" s="127"/>
      <c r="K60" s="201"/>
      <c r="L60" s="202"/>
      <c r="M60" s="202"/>
      <c r="N60" s="202"/>
      <c r="O60" s="202"/>
      <c r="P60" s="202"/>
      <c r="Q60" s="202"/>
      <c r="R60" s="202"/>
      <c r="S60" s="202"/>
      <c r="T60" s="202"/>
      <c r="U60" s="203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174" t="s">
        <v>54</v>
      </c>
      <c r="C61" s="119"/>
      <c r="D61" s="119"/>
      <c r="E61" s="119"/>
      <c r="F61" s="119"/>
      <c r="G61" s="119"/>
      <c r="H61" s="119"/>
      <c r="I61" s="119"/>
      <c r="J61" s="119"/>
      <c r="K61" s="174" t="s">
        <v>58</v>
      </c>
      <c r="L61" s="195"/>
      <c r="M61" s="195"/>
      <c r="N61" s="195"/>
      <c r="O61" s="195"/>
      <c r="P61" s="195"/>
      <c r="Q61" s="195"/>
      <c r="R61" s="195"/>
      <c r="S61" s="195"/>
      <c r="T61" s="195"/>
      <c r="U61" s="196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6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39"/>
      <c r="U62" s="39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6" t="s">
        <v>18</v>
      </c>
      <c r="C63" s="27"/>
      <c r="D63" s="28"/>
      <c r="E63" s="28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35"/>
      <c r="Q63" s="25"/>
      <c r="R63" s="25"/>
      <c r="S63" s="25"/>
      <c r="T63" s="39"/>
      <c r="U63" s="39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9"/>
      <c r="C64" s="25" t="s">
        <v>19</v>
      </c>
      <c r="D64" s="28"/>
      <c r="E64" s="28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36"/>
      <c r="Q64" s="25"/>
      <c r="R64" s="25"/>
      <c r="S64" s="25"/>
      <c r="T64" s="39"/>
      <c r="U64" s="39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3"/>
      <c r="B65" s="28"/>
      <c r="C65" s="28"/>
      <c r="D65" s="28"/>
      <c r="E65" s="2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38"/>
      <c r="U65" s="38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</sheetData>
  <mergeCells count="23">
    <mergeCell ref="A6:U6"/>
    <mergeCell ref="A7:U7"/>
    <mergeCell ref="A8:U8"/>
    <mergeCell ref="C10:O10"/>
    <mergeCell ref="P10:U10"/>
    <mergeCell ref="C11:O11"/>
    <mergeCell ref="P11:U11"/>
    <mergeCell ref="C12:R12"/>
    <mergeCell ref="C13:O13"/>
    <mergeCell ref="P13:R13"/>
    <mergeCell ref="B58:J58"/>
    <mergeCell ref="K58:U58"/>
    <mergeCell ref="B61:J61"/>
    <mergeCell ref="K61:U61"/>
    <mergeCell ref="B59:J60"/>
    <mergeCell ref="K59:U60"/>
    <mergeCell ref="A12:A16"/>
    <mergeCell ref="B12:B16"/>
    <mergeCell ref="S12:S16"/>
    <mergeCell ref="T12:T16"/>
    <mergeCell ref="U12:U16"/>
    <mergeCell ref="C14:O14"/>
    <mergeCell ref="P14:R14"/>
  </mergeCells>
  <pageMargins left="0.7" right="1.2" top="0.75" bottom="0.75" header="0" footer="0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983"/>
  <sheetViews>
    <sheetView topLeftCell="A11" zoomScale="70" zoomScaleNormal="70" workbookViewId="0">
      <selection activeCell="P16" sqref="P16:P55"/>
    </sheetView>
  </sheetViews>
  <sheetFormatPr defaultColWidth="14.453125" defaultRowHeight="15" customHeight="1"/>
  <cols>
    <col min="1" max="1" width="15.08984375" customWidth="1"/>
    <col min="2" max="2" width="60.6328125" customWidth="1"/>
    <col min="3" max="4" width="5" customWidth="1"/>
    <col min="5" max="5" width="4.6328125" customWidth="1"/>
    <col min="6" max="13" width="7" customWidth="1"/>
    <col min="14" max="14" width="8" customWidth="1"/>
    <col min="15" max="15" width="9.54296875" customWidth="1"/>
    <col min="16" max="16" width="9" customWidth="1"/>
    <col min="17" max="17" width="7.90625" customWidth="1"/>
    <col min="18" max="18" width="10.453125" customWidth="1"/>
    <col min="19" max="19" width="7.6328125" customWidth="1"/>
    <col min="20" max="20" width="9.08984375" customWidth="1"/>
    <col min="21" max="21" width="3.36328125" customWidth="1"/>
    <col min="22" max="29" width="9.08984375" customWidth="1"/>
  </cols>
  <sheetData>
    <row r="1" spans="1:29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25"/>
      <c r="W3" s="25"/>
      <c r="X3" s="25"/>
      <c r="Y3" s="25"/>
      <c r="Z3" s="25"/>
      <c r="AA3" s="25"/>
      <c r="AB3" s="25"/>
      <c r="AC3" s="25"/>
    </row>
    <row r="4" spans="1:29" ht="15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37"/>
      <c r="U4" s="37"/>
      <c r="V4" s="25"/>
      <c r="W4" s="25"/>
      <c r="X4" s="25"/>
      <c r="Y4" s="25"/>
      <c r="Z4" s="25"/>
      <c r="AA4" s="25"/>
      <c r="AB4" s="25"/>
      <c r="AC4" s="25"/>
    </row>
    <row r="5" spans="1:29" ht="15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25"/>
      <c r="W5" s="25"/>
      <c r="X5" s="25"/>
      <c r="Y5" s="25"/>
      <c r="Z5" s="25"/>
      <c r="AA5" s="25"/>
      <c r="AB5" s="25"/>
      <c r="AC5" s="25"/>
    </row>
    <row r="6" spans="1:29" ht="15.75" customHeight="1">
      <c r="A6" s="182" t="s">
        <v>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56"/>
      <c r="W6" s="18"/>
      <c r="X6" s="18"/>
      <c r="Y6" s="18"/>
      <c r="Z6" s="18"/>
      <c r="AA6" s="18"/>
      <c r="AB6" s="28"/>
      <c r="AC6" s="28"/>
    </row>
    <row r="7" spans="1:29" ht="15.75" customHeight="1">
      <c r="A7" s="183" t="s">
        <v>1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20"/>
      <c r="W7" s="19"/>
      <c r="X7" s="19"/>
      <c r="Y7" s="19"/>
      <c r="Z7" s="19"/>
      <c r="AA7" s="19"/>
      <c r="AB7" s="28"/>
      <c r="AC7" s="28"/>
    </row>
    <row r="8" spans="1:29" ht="15.75" customHeight="1">
      <c r="A8" s="183" t="s">
        <v>57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20"/>
      <c r="W8" s="20"/>
      <c r="X8" s="20"/>
      <c r="Y8" s="20"/>
      <c r="Z8" s="20"/>
      <c r="AA8" s="20"/>
      <c r="AB8" s="28"/>
      <c r="AC8" s="28"/>
    </row>
    <row r="9" spans="1:2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30" t="s">
        <v>2</v>
      </c>
      <c r="Q9" s="30"/>
      <c r="R9" s="30"/>
      <c r="S9" s="30"/>
      <c r="T9" s="30"/>
      <c r="U9" s="30"/>
      <c r="V9" s="30"/>
      <c r="W9" s="30"/>
      <c r="X9" s="30"/>
      <c r="AB9" s="28"/>
      <c r="AC9" s="28"/>
    </row>
    <row r="10" spans="1:29" ht="15.75" customHeight="1">
      <c r="A10" s="40" t="s">
        <v>63</v>
      </c>
      <c r="B10" s="41"/>
      <c r="C10" s="184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85"/>
      <c r="Q10" s="192"/>
      <c r="R10" s="192"/>
      <c r="S10" s="192"/>
      <c r="T10" s="192"/>
      <c r="U10" s="193"/>
      <c r="V10" s="25"/>
      <c r="W10" s="25"/>
      <c r="X10" s="25"/>
      <c r="Y10" s="25"/>
      <c r="Z10" s="25"/>
      <c r="AA10" s="25"/>
      <c r="AB10" s="25"/>
      <c r="AC10" s="25"/>
    </row>
    <row r="11" spans="1:29" ht="15.75" customHeight="1">
      <c r="A11" s="40" t="s">
        <v>61</v>
      </c>
      <c r="B11" s="41"/>
      <c r="C11" s="175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176"/>
      <c r="Q11" s="127"/>
      <c r="R11" s="127"/>
      <c r="S11" s="127"/>
      <c r="T11" s="127"/>
      <c r="U11" s="205"/>
      <c r="V11" s="25"/>
      <c r="W11" s="25"/>
      <c r="X11" s="25"/>
      <c r="Y11" s="25"/>
      <c r="Z11" s="25"/>
      <c r="AA11" s="25"/>
      <c r="AB11" s="25"/>
      <c r="AC11" s="25"/>
    </row>
    <row r="12" spans="1:29" ht="32.25" customHeight="1">
      <c r="A12" s="150" t="s">
        <v>3</v>
      </c>
      <c r="B12" s="156" t="s">
        <v>20</v>
      </c>
      <c r="C12" s="178" t="s">
        <v>64</v>
      </c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7"/>
      <c r="S12" s="159" t="s">
        <v>5</v>
      </c>
      <c r="T12" s="159" t="s">
        <v>6</v>
      </c>
      <c r="U12" s="159" t="s">
        <v>7</v>
      </c>
      <c r="V12" s="25"/>
      <c r="W12" s="25"/>
      <c r="X12" s="25"/>
      <c r="Y12" s="25"/>
      <c r="Z12" s="25"/>
      <c r="AA12" s="25"/>
      <c r="AB12" s="25"/>
      <c r="AC12" s="25"/>
    </row>
    <row r="13" spans="1:29" ht="37.5" customHeight="1">
      <c r="A13" s="186"/>
      <c r="B13" s="188"/>
      <c r="C13" s="181" t="s">
        <v>8</v>
      </c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3"/>
      <c r="P13" s="171" t="s">
        <v>9</v>
      </c>
      <c r="Q13" s="192"/>
      <c r="R13" s="194"/>
      <c r="S13" s="190"/>
      <c r="T13" s="190"/>
      <c r="U13" s="190"/>
      <c r="V13" s="25"/>
      <c r="W13" s="25"/>
      <c r="X13" s="25"/>
      <c r="Y13" s="25"/>
      <c r="Z13" s="25"/>
      <c r="AA13" s="25"/>
      <c r="AB13" s="25"/>
      <c r="AC13" s="25"/>
    </row>
    <row r="14" spans="1:29" ht="47.25" customHeight="1">
      <c r="A14" s="186"/>
      <c r="B14" s="188"/>
      <c r="C14" s="168" t="s">
        <v>10</v>
      </c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3"/>
      <c r="P14" s="171" t="s">
        <v>22</v>
      </c>
      <c r="Q14" s="192"/>
      <c r="R14" s="194"/>
      <c r="S14" s="190"/>
      <c r="T14" s="190"/>
      <c r="U14" s="190"/>
      <c r="V14" s="25"/>
      <c r="W14" s="25"/>
      <c r="X14" s="25"/>
      <c r="Y14" s="25"/>
      <c r="Z14" s="25"/>
      <c r="AA14" s="25"/>
      <c r="AB14" s="25"/>
      <c r="AC14" s="25"/>
    </row>
    <row r="15" spans="1:29" ht="47.25" customHeight="1">
      <c r="A15" s="186"/>
      <c r="B15" s="188"/>
      <c r="C15" s="58"/>
      <c r="D15" s="59"/>
      <c r="E15" s="59"/>
      <c r="F15" s="51"/>
      <c r="G15" s="51"/>
      <c r="H15" s="51"/>
      <c r="I15" s="51"/>
      <c r="J15" s="51"/>
      <c r="K15" s="51"/>
      <c r="L15" s="51"/>
      <c r="M15" s="51" t="s">
        <v>12</v>
      </c>
      <c r="N15" s="51" t="s">
        <v>13</v>
      </c>
      <c r="O15" s="51" t="s">
        <v>14</v>
      </c>
      <c r="P15" s="51" t="s">
        <v>12</v>
      </c>
      <c r="Q15" s="51" t="s">
        <v>13</v>
      </c>
      <c r="R15" s="60" t="s">
        <v>14</v>
      </c>
      <c r="S15" s="190"/>
      <c r="T15" s="190"/>
      <c r="U15" s="190"/>
      <c r="V15" s="25"/>
      <c r="W15" s="25"/>
      <c r="X15" s="25"/>
      <c r="Y15" s="25"/>
      <c r="Z15" s="25"/>
      <c r="AA15" s="25"/>
      <c r="AB15" s="25"/>
      <c r="AC15" s="25"/>
    </row>
    <row r="16" spans="1:29" ht="90" customHeight="1">
      <c r="A16" s="187"/>
      <c r="B16" s="189"/>
      <c r="C16" s="61"/>
      <c r="D16" s="52"/>
      <c r="E16" s="52"/>
      <c r="F16" s="52"/>
      <c r="G16" s="52"/>
      <c r="H16" s="52"/>
      <c r="I16" s="52"/>
      <c r="J16" s="52"/>
      <c r="K16" s="52"/>
      <c r="L16" s="52"/>
      <c r="M16" s="52">
        <f t="shared" ref="M16:M56" si="0">SUM(C16:L16)</f>
        <v>0</v>
      </c>
      <c r="N16" s="52" t="s">
        <v>15</v>
      </c>
      <c r="O16" s="62">
        <v>0.6</v>
      </c>
      <c r="P16" s="52"/>
      <c r="Q16" s="52" t="s">
        <v>15</v>
      </c>
      <c r="R16" s="63">
        <v>0.4</v>
      </c>
      <c r="S16" s="191"/>
      <c r="T16" s="191"/>
      <c r="U16" s="191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64">
        <f>prelim!A17</f>
        <v>0</v>
      </c>
      <c r="B17" s="22">
        <f>prelim!B17</f>
        <v>0</v>
      </c>
      <c r="C17" s="65"/>
      <c r="D17" s="66"/>
      <c r="E17" s="66"/>
      <c r="F17" s="67"/>
      <c r="G17" s="67"/>
      <c r="H17" s="67"/>
      <c r="I17" s="67"/>
      <c r="J17" s="67"/>
      <c r="K17" s="67"/>
      <c r="L17" s="67"/>
      <c r="M17" s="67">
        <f t="shared" si="0"/>
        <v>0</v>
      </c>
      <c r="N17" s="68" t="e">
        <f t="shared" ref="N17:N56" si="1">IF(OR(M17="",$O$16=""),"",IF(M17&gt;=$M$16/2,ROUND(100+(50*(M17-$M$16))/$M$16,0),ROUND(75+(20*(M17-$M$16/2)/$M$16),0)))</f>
        <v>#DIV/0!</v>
      </c>
      <c r="O17" s="69">
        <f t="shared" ref="O17:O56" si="2">IFERROR((N17*$O$16),0)</f>
        <v>0</v>
      </c>
      <c r="P17" s="70"/>
      <c r="Q17" s="68" t="str">
        <f t="shared" ref="Q17:Q56" si="3">IF(OR(P17="",$P$16=""),"",IF(P17&gt;=$P$16/2,ROUND(100+(50*(P17-$P$16))/$P$16,0),ROUND(75+(20*(P17-$P$16/2)/$P$16),0)))</f>
        <v/>
      </c>
      <c r="R17" s="69" t="str">
        <f t="shared" ref="R17:R56" si="4">IFERROR((Q17*0.4)," ")</f>
        <v xml:space="preserve"> </v>
      </c>
      <c r="S17" s="71" t="str">
        <f t="shared" ref="S17:S56" si="5">IFERROR((O17+R17),"")</f>
        <v/>
      </c>
      <c r="T17" s="72" t="str">
        <f t="shared" ref="T17:T56" si="6">IF(S17="","",ROUND(S17,0))</f>
        <v/>
      </c>
      <c r="U17" s="73" t="str">
        <f t="shared" ref="U17:U56" si="7">IF((T17&lt;=74),"F","P")</f>
        <v>P</v>
      </c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64">
        <f>prelim!A18</f>
        <v>0</v>
      </c>
      <c r="B18" s="22">
        <f>prelim!B18</f>
        <v>0</v>
      </c>
      <c r="C18" s="74"/>
      <c r="D18" s="75"/>
      <c r="E18" s="75"/>
      <c r="F18" s="76"/>
      <c r="G18" s="76"/>
      <c r="H18" s="76"/>
      <c r="I18" s="76"/>
      <c r="J18" s="76"/>
      <c r="K18" s="76"/>
      <c r="L18" s="76"/>
      <c r="M18" s="67">
        <f t="shared" si="0"/>
        <v>0</v>
      </c>
      <c r="N18" s="77" t="e">
        <f t="shared" si="1"/>
        <v>#DIV/0!</v>
      </c>
      <c r="O18" s="78">
        <f t="shared" si="2"/>
        <v>0</v>
      </c>
      <c r="P18" s="54"/>
      <c r="Q18" s="77" t="str">
        <f t="shared" si="3"/>
        <v/>
      </c>
      <c r="R18" s="78" t="str">
        <f t="shared" si="4"/>
        <v xml:space="preserve"> </v>
      </c>
      <c r="S18" s="71" t="str">
        <f t="shared" si="5"/>
        <v/>
      </c>
      <c r="T18" s="72" t="str">
        <f t="shared" si="6"/>
        <v/>
      </c>
      <c r="U18" s="73" t="str">
        <f t="shared" si="7"/>
        <v>P</v>
      </c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64">
        <f>prelim!A19</f>
        <v>0</v>
      </c>
      <c r="B19" s="22">
        <f>prelim!B19</f>
        <v>0</v>
      </c>
      <c r="C19" s="74"/>
      <c r="D19" s="75"/>
      <c r="E19" s="75"/>
      <c r="F19" s="76"/>
      <c r="G19" s="76"/>
      <c r="H19" s="76"/>
      <c r="I19" s="76"/>
      <c r="J19" s="76"/>
      <c r="K19" s="76"/>
      <c r="L19" s="76"/>
      <c r="M19" s="67">
        <f t="shared" si="0"/>
        <v>0</v>
      </c>
      <c r="N19" s="77" t="e">
        <f t="shared" si="1"/>
        <v>#DIV/0!</v>
      </c>
      <c r="O19" s="78">
        <f t="shared" si="2"/>
        <v>0</v>
      </c>
      <c r="P19" s="54"/>
      <c r="Q19" s="77" t="str">
        <f t="shared" si="3"/>
        <v/>
      </c>
      <c r="R19" s="78" t="str">
        <f t="shared" si="4"/>
        <v xml:space="preserve"> </v>
      </c>
      <c r="S19" s="71" t="str">
        <f t="shared" si="5"/>
        <v/>
      </c>
      <c r="T19" s="72" t="str">
        <f t="shared" si="6"/>
        <v/>
      </c>
      <c r="U19" s="73" t="str">
        <f t="shared" si="7"/>
        <v>P</v>
      </c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64">
        <f>prelim!A20</f>
        <v>0</v>
      </c>
      <c r="B20" s="22">
        <f>prelim!B20</f>
        <v>0</v>
      </c>
      <c r="C20" s="74"/>
      <c r="D20" s="75"/>
      <c r="E20" s="75"/>
      <c r="F20" s="76"/>
      <c r="G20" s="76"/>
      <c r="H20" s="76"/>
      <c r="I20" s="76"/>
      <c r="J20" s="76"/>
      <c r="K20" s="76"/>
      <c r="L20" s="76"/>
      <c r="M20" s="67">
        <f t="shared" si="0"/>
        <v>0</v>
      </c>
      <c r="N20" s="77" t="e">
        <f t="shared" si="1"/>
        <v>#DIV/0!</v>
      </c>
      <c r="O20" s="78">
        <f t="shared" si="2"/>
        <v>0</v>
      </c>
      <c r="P20" s="54"/>
      <c r="Q20" s="77" t="str">
        <f t="shared" si="3"/>
        <v/>
      </c>
      <c r="R20" s="78" t="str">
        <f t="shared" si="4"/>
        <v xml:space="preserve"> </v>
      </c>
      <c r="S20" s="71" t="str">
        <f t="shared" si="5"/>
        <v/>
      </c>
      <c r="T20" s="72" t="str">
        <f t="shared" si="6"/>
        <v/>
      </c>
      <c r="U20" s="73" t="str">
        <f t="shared" si="7"/>
        <v>P</v>
      </c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64">
        <f>prelim!A21</f>
        <v>0</v>
      </c>
      <c r="B21" s="22">
        <f>prelim!B21</f>
        <v>0</v>
      </c>
      <c r="C21" s="74"/>
      <c r="D21" s="75"/>
      <c r="E21" s="75"/>
      <c r="F21" s="76"/>
      <c r="G21" s="76"/>
      <c r="H21" s="76"/>
      <c r="I21" s="76"/>
      <c r="J21" s="76"/>
      <c r="K21" s="76"/>
      <c r="L21" s="76"/>
      <c r="M21" s="67">
        <f t="shared" si="0"/>
        <v>0</v>
      </c>
      <c r="N21" s="77" t="e">
        <f t="shared" si="1"/>
        <v>#DIV/0!</v>
      </c>
      <c r="O21" s="78">
        <f t="shared" si="2"/>
        <v>0</v>
      </c>
      <c r="P21" s="54"/>
      <c r="Q21" s="77" t="str">
        <f t="shared" si="3"/>
        <v/>
      </c>
      <c r="R21" s="78" t="str">
        <f t="shared" si="4"/>
        <v xml:space="preserve"> </v>
      </c>
      <c r="S21" s="71" t="str">
        <f t="shared" si="5"/>
        <v/>
      </c>
      <c r="T21" s="72" t="str">
        <f t="shared" si="6"/>
        <v/>
      </c>
      <c r="U21" s="73" t="str">
        <f t="shared" si="7"/>
        <v>P</v>
      </c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64">
        <f>prelim!A22</f>
        <v>0</v>
      </c>
      <c r="B22" s="22">
        <f>prelim!B22</f>
        <v>0</v>
      </c>
      <c r="C22" s="74"/>
      <c r="D22" s="75"/>
      <c r="E22" s="75"/>
      <c r="F22" s="76"/>
      <c r="G22" s="76"/>
      <c r="H22" s="76"/>
      <c r="I22" s="76"/>
      <c r="J22" s="76"/>
      <c r="K22" s="76"/>
      <c r="L22" s="76"/>
      <c r="M22" s="67">
        <f t="shared" si="0"/>
        <v>0</v>
      </c>
      <c r="N22" s="77" t="e">
        <f t="shared" si="1"/>
        <v>#DIV/0!</v>
      </c>
      <c r="O22" s="78">
        <f t="shared" si="2"/>
        <v>0</v>
      </c>
      <c r="P22" s="54"/>
      <c r="Q22" s="77" t="str">
        <f t="shared" si="3"/>
        <v/>
      </c>
      <c r="R22" s="78" t="str">
        <f t="shared" si="4"/>
        <v xml:space="preserve"> </v>
      </c>
      <c r="S22" s="71" t="str">
        <f t="shared" si="5"/>
        <v/>
      </c>
      <c r="T22" s="72" t="str">
        <f t="shared" si="6"/>
        <v/>
      </c>
      <c r="U22" s="73" t="str">
        <f t="shared" si="7"/>
        <v>P</v>
      </c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64">
        <f>prelim!A23</f>
        <v>0</v>
      </c>
      <c r="B23" s="22">
        <f>prelim!B23</f>
        <v>0</v>
      </c>
      <c r="C23" s="74"/>
      <c r="D23" s="75"/>
      <c r="E23" s="75"/>
      <c r="F23" s="76"/>
      <c r="G23" s="76"/>
      <c r="H23" s="76"/>
      <c r="I23" s="76"/>
      <c r="J23" s="76"/>
      <c r="K23" s="76"/>
      <c r="L23" s="76"/>
      <c r="M23" s="67">
        <f t="shared" si="0"/>
        <v>0</v>
      </c>
      <c r="N23" s="77" t="e">
        <f t="shared" si="1"/>
        <v>#DIV/0!</v>
      </c>
      <c r="O23" s="78">
        <f t="shared" si="2"/>
        <v>0</v>
      </c>
      <c r="P23" s="54"/>
      <c r="Q23" s="77" t="str">
        <f t="shared" si="3"/>
        <v/>
      </c>
      <c r="R23" s="78" t="str">
        <f t="shared" si="4"/>
        <v xml:space="preserve"> </v>
      </c>
      <c r="S23" s="71" t="str">
        <f t="shared" si="5"/>
        <v/>
      </c>
      <c r="T23" s="72" t="str">
        <f t="shared" si="6"/>
        <v/>
      </c>
      <c r="U23" s="73" t="str">
        <f t="shared" si="7"/>
        <v>P</v>
      </c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64">
        <f>prelim!A24</f>
        <v>0</v>
      </c>
      <c r="B24" s="22">
        <f>prelim!B24</f>
        <v>0</v>
      </c>
      <c r="C24" s="74"/>
      <c r="D24" s="75"/>
      <c r="E24" s="75"/>
      <c r="F24" s="76"/>
      <c r="G24" s="76"/>
      <c r="H24" s="76"/>
      <c r="I24" s="76"/>
      <c r="J24" s="76"/>
      <c r="K24" s="76"/>
      <c r="L24" s="76"/>
      <c r="M24" s="67">
        <f t="shared" si="0"/>
        <v>0</v>
      </c>
      <c r="N24" s="77" t="e">
        <f t="shared" si="1"/>
        <v>#DIV/0!</v>
      </c>
      <c r="O24" s="78">
        <f t="shared" si="2"/>
        <v>0</v>
      </c>
      <c r="P24" s="54"/>
      <c r="Q24" s="77" t="str">
        <f t="shared" si="3"/>
        <v/>
      </c>
      <c r="R24" s="78" t="str">
        <f t="shared" si="4"/>
        <v xml:space="preserve"> </v>
      </c>
      <c r="S24" s="71" t="str">
        <f t="shared" si="5"/>
        <v/>
      </c>
      <c r="T24" s="72" t="str">
        <f t="shared" si="6"/>
        <v/>
      </c>
      <c r="U24" s="73" t="str">
        <f t="shared" si="7"/>
        <v>P</v>
      </c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64">
        <f>prelim!A25</f>
        <v>0</v>
      </c>
      <c r="B25" s="22">
        <f>prelim!B25</f>
        <v>0</v>
      </c>
      <c r="C25" s="74"/>
      <c r="D25" s="75"/>
      <c r="E25" s="75"/>
      <c r="F25" s="76"/>
      <c r="G25" s="76"/>
      <c r="H25" s="76"/>
      <c r="I25" s="76"/>
      <c r="J25" s="76"/>
      <c r="K25" s="76"/>
      <c r="L25" s="76"/>
      <c r="M25" s="67">
        <f t="shared" si="0"/>
        <v>0</v>
      </c>
      <c r="N25" s="77" t="e">
        <f t="shared" si="1"/>
        <v>#DIV/0!</v>
      </c>
      <c r="O25" s="78">
        <f t="shared" si="2"/>
        <v>0</v>
      </c>
      <c r="P25" s="54"/>
      <c r="Q25" s="77" t="str">
        <f t="shared" si="3"/>
        <v/>
      </c>
      <c r="R25" s="78" t="str">
        <f t="shared" si="4"/>
        <v xml:space="preserve"> </v>
      </c>
      <c r="S25" s="71" t="str">
        <f t="shared" si="5"/>
        <v/>
      </c>
      <c r="T25" s="72" t="str">
        <f t="shared" si="6"/>
        <v/>
      </c>
      <c r="U25" s="73" t="str">
        <f t="shared" si="7"/>
        <v>P</v>
      </c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64">
        <f>prelim!A26</f>
        <v>0</v>
      </c>
      <c r="B26" s="22">
        <f>prelim!B26</f>
        <v>0</v>
      </c>
      <c r="C26" s="74"/>
      <c r="D26" s="75"/>
      <c r="E26" s="75"/>
      <c r="F26" s="76"/>
      <c r="G26" s="76"/>
      <c r="H26" s="76"/>
      <c r="I26" s="76"/>
      <c r="J26" s="76"/>
      <c r="K26" s="76"/>
      <c r="L26" s="76"/>
      <c r="M26" s="67">
        <f t="shared" si="0"/>
        <v>0</v>
      </c>
      <c r="N26" s="77" t="e">
        <f t="shared" si="1"/>
        <v>#DIV/0!</v>
      </c>
      <c r="O26" s="78">
        <f t="shared" si="2"/>
        <v>0</v>
      </c>
      <c r="P26" s="54"/>
      <c r="Q26" s="77" t="str">
        <f t="shared" si="3"/>
        <v/>
      </c>
      <c r="R26" s="78" t="str">
        <f t="shared" si="4"/>
        <v xml:space="preserve"> </v>
      </c>
      <c r="S26" s="71" t="str">
        <f t="shared" si="5"/>
        <v/>
      </c>
      <c r="T26" s="72" t="str">
        <f t="shared" si="6"/>
        <v/>
      </c>
      <c r="U26" s="73" t="str">
        <f t="shared" si="7"/>
        <v>P</v>
      </c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64">
        <f>prelim!A27</f>
        <v>0</v>
      </c>
      <c r="B27" s="22">
        <f>prelim!B27</f>
        <v>0</v>
      </c>
      <c r="C27" s="74"/>
      <c r="D27" s="75"/>
      <c r="E27" s="75"/>
      <c r="F27" s="76"/>
      <c r="G27" s="76"/>
      <c r="H27" s="76"/>
      <c r="I27" s="76"/>
      <c r="J27" s="76"/>
      <c r="K27" s="76"/>
      <c r="L27" s="76"/>
      <c r="M27" s="67">
        <f t="shared" si="0"/>
        <v>0</v>
      </c>
      <c r="N27" s="77" t="e">
        <f t="shared" si="1"/>
        <v>#DIV/0!</v>
      </c>
      <c r="O27" s="78">
        <f t="shared" si="2"/>
        <v>0</v>
      </c>
      <c r="P27" s="54"/>
      <c r="Q27" s="77" t="str">
        <f t="shared" si="3"/>
        <v/>
      </c>
      <c r="R27" s="78" t="str">
        <f t="shared" si="4"/>
        <v xml:space="preserve"> </v>
      </c>
      <c r="S27" s="71" t="str">
        <f t="shared" si="5"/>
        <v/>
      </c>
      <c r="T27" s="72" t="str">
        <f t="shared" si="6"/>
        <v/>
      </c>
      <c r="U27" s="73" t="str">
        <f t="shared" si="7"/>
        <v>P</v>
      </c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64">
        <f>prelim!A28</f>
        <v>0</v>
      </c>
      <c r="B28" s="22">
        <f>prelim!B28</f>
        <v>0</v>
      </c>
      <c r="C28" s="74"/>
      <c r="D28" s="75"/>
      <c r="E28" s="75"/>
      <c r="F28" s="76"/>
      <c r="G28" s="76"/>
      <c r="H28" s="76"/>
      <c r="I28" s="76"/>
      <c r="J28" s="76"/>
      <c r="K28" s="76"/>
      <c r="L28" s="76"/>
      <c r="M28" s="67">
        <f t="shared" si="0"/>
        <v>0</v>
      </c>
      <c r="N28" s="77" t="e">
        <f t="shared" si="1"/>
        <v>#DIV/0!</v>
      </c>
      <c r="O28" s="78">
        <f t="shared" si="2"/>
        <v>0</v>
      </c>
      <c r="P28" s="54"/>
      <c r="Q28" s="77" t="str">
        <f t="shared" si="3"/>
        <v/>
      </c>
      <c r="R28" s="78" t="str">
        <f t="shared" si="4"/>
        <v xml:space="preserve"> </v>
      </c>
      <c r="S28" s="71" t="str">
        <f t="shared" si="5"/>
        <v/>
      </c>
      <c r="T28" s="72" t="str">
        <f t="shared" si="6"/>
        <v/>
      </c>
      <c r="U28" s="73" t="str">
        <f t="shared" si="7"/>
        <v>P</v>
      </c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64">
        <f>prelim!A29</f>
        <v>0</v>
      </c>
      <c r="B29" s="22">
        <f>prelim!B29</f>
        <v>0</v>
      </c>
      <c r="C29" s="74"/>
      <c r="D29" s="75"/>
      <c r="E29" s="75"/>
      <c r="F29" s="76"/>
      <c r="G29" s="76"/>
      <c r="H29" s="76"/>
      <c r="I29" s="76"/>
      <c r="J29" s="76"/>
      <c r="K29" s="76"/>
      <c r="L29" s="76"/>
      <c r="M29" s="67">
        <f t="shared" si="0"/>
        <v>0</v>
      </c>
      <c r="N29" s="77" t="e">
        <f t="shared" si="1"/>
        <v>#DIV/0!</v>
      </c>
      <c r="O29" s="78">
        <f t="shared" si="2"/>
        <v>0</v>
      </c>
      <c r="P29" s="54"/>
      <c r="Q29" s="77" t="str">
        <f t="shared" si="3"/>
        <v/>
      </c>
      <c r="R29" s="78" t="str">
        <f t="shared" si="4"/>
        <v xml:space="preserve"> </v>
      </c>
      <c r="S29" s="71" t="str">
        <f t="shared" si="5"/>
        <v/>
      </c>
      <c r="T29" s="72" t="str">
        <f t="shared" si="6"/>
        <v/>
      </c>
      <c r="U29" s="73" t="str">
        <f t="shared" si="7"/>
        <v>P</v>
      </c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64">
        <f>prelim!A30</f>
        <v>0</v>
      </c>
      <c r="B30" s="22">
        <f>prelim!B30</f>
        <v>0</v>
      </c>
      <c r="C30" s="74"/>
      <c r="D30" s="75"/>
      <c r="E30" s="75"/>
      <c r="F30" s="76"/>
      <c r="G30" s="76"/>
      <c r="H30" s="76"/>
      <c r="I30" s="76"/>
      <c r="J30" s="76"/>
      <c r="K30" s="76"/>
      <c r="L30" s="76"/>
      <c r="M30" s="67">
        <f t="shared" si="0"/>
        <v>0</v>
      </c>
      <c r="N30" s="77" t="e">
        <f t="shared" si="1"/>
        <v>#DIV/0!</v>
      </c>
      <c r="O30" s="78">
        <f t="shared" si="2"/>
        <v>0</v>
      </c>
      <c r="P30" s="54"/>
      <c r="Q30" s="77" t="str">
        <f t="shared" si="3"/>
        <v/>
      </c>
      <c r="R30" s="78" t="str">
        <f t="shared" si="4"/>
        <v xml:space="preserve"> </v>
      </c>
      <c r="S30" s="71" t="str">
        <f t="shared" si="5"/>
        <v/>
      </c>
      <c r="T30" s="72" t="str">
        <f t="shared" si="6"/>
        <v/>
      </c>
      <c r="U30" s="73" t="str">
        <f t="shared" si="7"/>
        <v>P</v>
      </c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64">
        <f>prelim!A31</f>
        <v>0</v>
      </c>
      <c r="B31" s="22">
        <f>prelim!B31</f>
        <v>0</v>
      </c>
      <c r="C31" s="74"/>
      <c r="D31" s="75"/>
      <c r="E31" s="75"/>
      <c r="F31" s="76"/>
      <c r="G31" s="76"/>
      <c r="H31" s="76"/>
      <c r="I31" s="76"/>
      <c r="J31" s="76"/>
      <c r="K31" s="76"/>
      <c r="L31" s="76"/>
      <c r="M31" s="67">
        <f t="shared" si="0"/>
        <v>0</v>
      </c>
      <c r="N31" s="77" t="e">
        <f t="shared" si="1"/>
        <v>#DIV/0!</v>
      </c>
      <c r="O31" s="78">
        <f t="shared" si="2"/>
        <v>0</v>
      </c>
      <c r="P31" s="54"/>
      <c r="Q31" s="77" t="str">
        <f t="shared" si="3"/>
        <v/>
      </c>
      <c r="R31" s="78" t="str">
        <f t="shared" si="4"/>
        <v xml:space="preserve"> </v>
      </c>
      <c r="S31" s="71" t="str">
        <f t="shared" si="5"/>
        <v/>
      </c>
      <c r="T31" s="72" t="str">
        <f t="shared" si="6"/>
        <v/>
      </c>
      <c r="U31" s="73" t="str">
        <f t="shared" si="7"/>
        <v>P</v>
      </c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64">
        <f>prelim!A32</f>
        <v>0</v>
      </c>
      <c r="B32" s="22">
        <f>prelim!B32</f>
        <v>0</v>
      </c>
      <c r="C32" s="74"/>
      <c r="D32" s="75"/>
      <c r="E32" s="75"/>
      <c r="F32" s="76"/>
      <c r="G32" s="76"/>
      <c r="H32" s="76"/>
      <c r="I32" s="76"/>
      <c r="J32" s="76"/>
      <c r="K32" s="76"/>
      <c r="L32" s="76"/>
      <c r="M32" s="67">
        <f t="shared" si="0"/>
        <v>0</v>
      </c>
      <c r="N32" s="77" t="e">
        <f t="shared" si="1"/>
        <v>#DIV/0!</v>
      </c>
      <c r="O32" s="78">
        <f t="shared" si="2"/>
        <v>0</v>
      </c>
      <c r="P32" s="54"/>
      <c r="Q32" s="77" t="str">
        <f t="shared" si="3"/>
        <v/>
      </c>
      <c r="R32" s="78" t="str">
        <f t="shared" si="4"/>
        <v xml:space="preserve"> </v>
      </c>
      <c r="S32" s="71" t="str">
        <f t="shared" si="5"/>
        <v/>
      </c>
      <c r="T32" s="72" t="str">
        <f t="shared" si="6"/>
        <v/>
      </c>
      <c r="U32" s="73" t="str">
        <f t="shared" si="7"/>
        <v>P</v>
      </c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64">
        <f>prelim!A33</f>
        <v>0</v>
      </c>
      <c r="B33" s="22">
        <f>prelim!B33</f>
        <v>0</v>
      </c>
      <c r="C33" s="74"/>
      <c r="D33" s="75"/>
      <c r="E33" s="75"/>
      <c r="F33" s="76"/>
      <c r="G33" s="76"/>
      <c r="H33" s="76"/>
      <c r="I33" s="76"/>
      <c r="J33" s="76"/>
      <c r="K33" s="76"/>
      <c r="L33" s="76"/>
      <c r="M33" s="67">
        <f t="shared" si="0"/>
        <v>0</v>
      </c>
      <c r="N33" s="77" t="e">
        <f t="shared" si="1"/>
        <v>#DIV/0!</v>
      </c>
      <c r="O33" s="78">
        <f t="shared" si="2"/>
        <v>0</v>
      </c>
      <c r="P33" s="54"/>
      <c r="Q33" s="77" t="str">
        <f t="shared" si="3"/>
        <v/>
      </c>
      <c r="R33" s="78" t="str">
        <f t="shared" si="4"/>
        <v xml:space="preserve"> </v>
      </c>
      <c r="S33" s="71" t="str">
        <f t="shared" si="5"/>
        <v/>
      </c>
      <c r="T33" s="72" t="str">
        <f t="shared" si="6"/>
        <v/>
      </c>
      <c r="U33" s="73" t="str">
        <f t="shared" si="7"/>
        <v>P</v>
      </c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64">
        <f>prelim!A34</f>
        <v>0</v>
      </c>
      <c r="B34" s="22">
        <f>prelim!B34</f>
        <v>0</v>
      </c>
      <c r="C34" s="74"/>
      <c r="D34" s="75"/>
      <c r="E34" s="75"/>
      <c r="F34" s="76"/>
      <c r="G34" s="76"/>
      <c r="H34" s="76"/>
      <c r="I34" s="76"/>
      <c r="J34" s="76"/>
      <c r="K34" s="76"/>
      <c r="L34" s="76"/>
      <c r="M34" s="67">
        <f t="shared" si="0"/>
        <v>0</v>
      </c>
      <c r="N34" s="77" t="e">
        <f t="shared" si="1"/>
        <v>#DIV/0!</v>
      </c>
      <c r="O34" s="78">
        <f t="shared" si="2"/>
        <v>0</v>
      </c>
      <c r="P34" s="54"/>
      <c r="Q34" s="77" t="str">
        <f t="shared" si="3"/>
        <v/>
      </c>
      <c r="R34" s="78" t="str">
        <f t="shared" si="4"/>
        <v xml:space="preserve"> </v>
      </c>
      <c r="S34" s="71" t="str">
        <f t="shared" si="5"/>
        <v/>
      </c>
      <c r="T34" s="72" t="str">
        <f t="shared" si="6"/>
        <v/>
      </c>
      <c r="U34" s="73" t="str">
        <f t="shared" si="7"/>
        <v>P</v>
      </c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64">
        <f>prelim!A35</f>
        <v>0</v>
      </c>
      <c r="B35" s="22">
        <f>prelim!B35</f>
        <v>0</v>
      </c>
      <c r="C35" s="74"/>
      <c r="D35" s="75"/>
      <c r="E35" s="75"/>
      <c r="F35" s="76"/>
      <c r="G35" s="76"/>
      <c r="H35" s="76"/>
      <c r="I35" s="76"/>
      <c r="J35" s="76"/>
      <c r="K35" s="76"/>
      <c r="L35" s="76"/>
      <c r="M35" s="67">
        <f t="shared" si="0"/>
        <v>0</v>
      </c>
      <c r="N35" s="77" t="e">
        <f t="shared" si="1"/>
        <v>#DIV/0!</v>
      </c>
      <c r="O35" s="78">
        <f t="shared" si="2"/>
        <v>0</v>
      </c>
      <c r="P35" s="54"/>
      <c r="Q35" s="77" t="str">
        <f t="shared" si="3"/>
        <v/>
      </c>
      <c r="R35" s="78" t="str">
        <f t="shared" si="4"/>
        <v xml:space="preserve"> </v>
      </c>
      <c r="S35" s="71" t="str">
        <f t="shared" si="5"/>
        <v/>
      </c>
      <c r="T35" s="72" t="str">
        <f t="shared" si="6"/>
        <v/>
      </c>
      <c r="U35" s="73" t="str">
        <f t="shared" si="7"/>
        <v>P</v>
      </c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64">
        <f>prelim!A36</f>
        <v>0</v>
      </c>
      <c r="B36" s="22">
        <f>prelim!B36</f>
        <v>0</v>
      </c>
      <c r="C36" s="74"/>
      <c r="D36" s="75"/>
      <c r="E36" s="75"/>
      <c r="F36" s="76"/>
      <c r="G36" s="76"/>
      <c r="H36" s="76"/>
      <c r="I36" s="76"/>
      <c r="J36" s="76"/>
      <c r="K36" s="76"/>
      <c r="L36" s="76"/>
      <c r="M36" s="67">
        <f t="shared" si="0"/>
        <v>0</v>
      </c>
      <c r="N36" s="77" t="e">
        <f t="shared" si="1"/>
        <v>#DIV/0!</v>
      </c>
      <c r="O36" s="78">
        <f t="shared" si="2"/>
        <v>0</v>
      </c>
      <c r="P36" s="54"/>
      <c r="Q36" s="77" t="str">
        <f t="shared" si="3"/>
        <v/>
      </c>
      <c r="R36" s="78" t="str">
        <f t="shared" si="4"/>
        <v xml:space="preserve"> </v>
      </c>
      <c r="S36" s="71" t="str">
        <f t="shared" si="5"/>
        <v/>
      </c>
      <c r="T36" s="72" t="str">
        <f t="shared" si="6"/>
        <v/>
      </c>
      <c r="U36" s="73" t="str">
        <f t="shared" si="7"/>
        <v>P</v>
      </c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64">
        <f>prelim!A37</f>
        <v>0</v>
      </c>
      <c r="B37" s="22">
        <f>prelim!B37</f>
        <v>0</v>
      </c>
      <c r="C37" s="74"/>
      <c r="D37" s="75"/>
      <c r="E37" s="75"/>
      <c r="F37" s="76"/>
      <c r="G37" s="76"/>
      <c r="H37" s="76"/>
      <c r="I37" s="76"/>
      <c r="J37" s="76"/>
      <c r="K37" s="76"/>
      <c r="L37" s="76"/>
      <c r="M37" s="67">
        <f t="shared" si="0"/>
        <v>0</v>
      </c>
      <c r="N37" s="77" t="e">
        <f t="shared" si="1"/>
        <v>#DIV/0!</v>
      </c>
      <c r="O37" s="78">
        <f t="shared" si="2"/>
        <v>0</v>
      </c>
      <c r="P37" s="54"/>
      <c r="Q37" s="77" t="str">
        <f t="shared" si="3"/>
        <v/>
      </c>
      <c r="R37" s="78" t="str">
        <f t="shared" si="4"/>
        <v xml:space="preserve"> </v>
      </c>
      <c r="S37" s="71" t="str">
        <f t="shared" si="5"/>
        <v/>
      </c>
      <c r="T37" s="72" t="str">
        <f t="shared" si="6"/>
        <v/>
      </c>
      <c r="U37" s="73" t="str">
        <f t="shared" si="7"/>
        <v>P</v>
      </c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64">
        <f>prelim!A38</f>
        <v>0</v>
      </c>
      <c r="B38" s="22">
        <f>prelim!B38</f>
        <v>0</v>
      </c>
      <c r="C38" s="74"/>
      <c r="D38" s="75"/>
      <c r="E38" s="75"/>
      <c r="F38" s="76"/>
      <c r="G38" s="76"/>
      <c r="H38" s="76"/>
      <c r="I38" s="76"/>
      <c r="J38" s="76"/>
      <c r="K38" s="76"/>
      <c r="L38" s="76"/>
      <c r="M38" s="67">
        <f t="shared" si="0"/>
        <v>0</v>
      </c>
      <c r="N38" s="77" t="e">
        <f t="shared" si="1"/>
        <v>#DIV/0!</v>
      </c>
      <c r="O38" s="78">
        <f t="shared" si="2"/>
        <v>0</v>
      </c>
      <c r="P38" s="54"/>
      <c r="Q38" s="77" t="str">
        <f t="shared" si="3"/>
        <v/>
      </c>
      <c r="R38" s="78" t="str">
        <f t="shared" si="4"/>
        <v xml:space="preserve"> </v>
      </c>
      <c r="S38" s="71" t="str">
        <f t="shared" si="5"/>
        <v/>
      </c>
      <c r="T38" s="72" t="str">
        <f t="shared" si="6"/>
        <v/>
      </c>
      <c r="U38" s="73" t="str">
        <f t="shared" si="7"/>
        <v>P</v>
      </c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64">
        <f>prelim!A39</f>
        <v>0</v>
      </c>
      <c r="B39" s="22">
        <f>prelim!B39</f>
        <v>0</v>
      </c>
      <c r="C39" s="74"/>
      <c r="D39" s="75"/>
      <c r="E39" s="75"/>
      <c r="F39" s="76"/>
      <c r="G39" s="76"/>
      <c r="H39" s="76"/>
      <c r="I39" s="76"/>
      <c r="J39" s="76"/>
      <c r="K39" s="76"/>
      <c r="L39" s="76"/>
      <c r="M39" s="67">
        <f t="shared" si="0"/>
        <v>0</v>
      </c>
      <c r="N39" s="77" t="e">
        <f t="shared" si="1"/>
        <v>#DIV/0!</v>
      </c>
      <c r="O39" s="78">
        <f t="shared" si="2"/>
        <v>0</v>
      </c>
      <c r="P39" s="54"/>
      <c r="Q39" s="77" t="str">
        <f t="shared" si="3"/>
        <v/>
      </c>
      <c r="R39" s="78" t="str">
        <f t="shared" si="4"/>
        <v xml:space="preserve"> </v>
      </c>
      <c r="S39" s="71" t="str">
        <f t="shared" si="5"/>
        <v/>
      </c>
      <c r="T39" s="72" t="str">
        <f t="shared" si="6"/>
        <v/>
      </c>
      <c r="U39" s="73" t="str">
        <f t="shared" si="7"/>
        <v>P</v>
      </c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64">
        <f>prelim!A40</f>
        <v>0</v>
      </c>
      <c r="B40" s="22">
        <f>prelim!B40</f>
        <v>0</v>
      </c>
      <c r="C40" s="74"/>
      <c r="D40" s="75"/>
      <c r="E40" s="75"/>
      <c r="F40" s="76"/>
      <c r="G40" s="76"/>
      <c r="H40" s="76"/>
      <c r="I40" s="76"/>
      <c r="J40" s="76"/>
      <c r="K40" s="76"/>
      <c r="L40" s="76"/>
      <c r="M40" s="67">
        <f t="shared" si="0"/>
        <v>0</v>
      </c>
      <c r="N40" s="77" t="e">
        <f t="shared" si="1"/>
        <v>#DIV/0!</v>
      </c>
      <c r="O40" s="78">
        <f t="shared" si="2"/>
        <v>0</v>
      </c>
      <c r="P40" s="54"/>
      <c r="Q40" s="77" t="str">
        <f t="shared" si="3"/>
        <v/>
      </c>
      <c r="R40" s="78" t="str">
        <f t="shared" si="4"/>
        <v xml:space="preserve"> </v>
      </c>
      <c r="S40" s="71" t="str">
        <f t="shared" si="5"/>
        <v/>
      </c>
      <c r="T40" s="72" t="str">
        <f t="shared" si="6"/>
        <v/>
      </c>
      <c r="U40" s="73" t="str">
        <f t="shared" si="7"/>
        <v>P</v>
      </c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64">
        <f>prelim!A41</f>
        <v>0</v>
      </c>
      <c r="B41" s="22">
        <f>prelim!B41</f>
        <v>0</v>
      </c>
      <c r="C41" s="74"/>
      <c r="D41" s="75"/>
      <c r="E41" s="75"/>
      <c r="F41" s="76"/>
      <c r="G41" s="76"/>
      <c r="H41" s="76"/>
      <c r="I41" s="76"/>
      <c r="J41" s="76"/>
      <c r="K41" s="76"/>
      <c r="L41" s="76"/>
      <c r="M41" s="67">
        <f t="shared" si="0"/>
        <v>0</v>
      </c>
      <c r="N41" s="77" t="e">
        <f t="shared" si="1"/>
        <v>#DIV/0!</v>
      </c>
      <c r="O41" s="78">
        <f t="shared" si="2"/>
        <v>0</v>
      </c>
      <c r="P41" s="54"/>
      <c r="Q41" s="77" t="str">
        <f t="shared" si="3"/>
        <v/>
      </c>
      <c r="R41" s="78" t="str">
        <f t="shared" si="4"/>
        <v xml:space="preserve"> </v>
      </c>
      <c r="S41" s="71" t="str">
        <f t="shared" si="5"/>
        <v/>
      </c>
      <c r="T41" s="72" t="str">
        <f t="shared" si="6"/>
        <v/>
      </c>
      <c r="U41" s="73" t="str">
        <f t="shared" si="7"/>
        <v>P</v>
      </c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64">
        <f>prelim!A42</f>
        <v>0</v>
      </c>
      <c r="B42" s="22">
        <f>prelim!B42</f>
        <v>0</v>
      </c>
      <c r="C42" s="74"/>
      <c r="D42" s="75"/>
      <c r="E42" s="75"/>
      <c r="F42" s="76"/>
      <c r="G42" s="76"/>
      <c r="H42" s="76"/>
      <c r="I42" s="76"/>
      <c r="J42" s="76"/>
      <c r="K42" s="76"/>
      <c r="L42" s="76"/>
      <c r="M42" s="67">
        <f t="shared" si="0"/>
        <v>0</v>
      </c>
      <c r="N42" s="77" t="e">
        <f t="shared" si="1"/>
        <v>#DIV/0!</v>
      </c>
      <c r="O42" s="78">
        <f t="shared" si="2"/>
        <v>0</v>
      </c>
      <c r="P42" s="54"/>
      <c r="Q42" s="77" t="str">
        <f t="shared" si="3"/>
        <v/>
      </c>
      <c r="R42" s="78" t="str">
        <f t="shared" si="4"/>
        <v xml:space="preserve"> </v>
      </c>
      <c r="S42" s="71" t="str">
        <f t="shared" si="5"/>
        <v/>
      </c>
      <c r="T42" s="72" t="str">
        <f t="shared" si="6"/>
        <v/>
      </c>
      <c r="U42" s="73" t="str">
        <f t="shared" si="7"/>
        <v>P</v>
      </c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64">
        <f>prelim!A43</f>
        <v>0</v>
      </c>
      <c r="B43" s="22">
        <f>prelim!B43</f>
        <v>0</v>
      </c>
      <c r="C43" s="74"/>
      <c r="D43" s="75"/>
      <c r="E43" s="75"/>
      <c r="F43" s="76"/>
      <c r="G43" s="76"/>
      <c r="H43" s="76"/>
      <c r="I43" s="76"/>
      <c r="J43" s="76"/>
      <c r="K43" s="76"/>
      <c r="L43" s="76"/>
      <c r="M43" s="67">
        <f t="shared" si="0"/>
        <v>0</v>
      </c>
      <c r="N43" s="77" t="e">
        <f t="shared" si="1"/>
        <v>#DIV/0!</v>
      </c>
      <c r="O43" s="78">
        <f t="shared" si="2"/>
        <v>0</v>
      </c>
      <c r="P43" s="54"/>
      <c r="Q43" s="77" t="str">
        <f t="shared" si="3"/>
        <v/>
      </c>
      <c r="R43" s="78" t="str">
        <f t="shared" si="4"/>
        <v xml:space="preserve"> </v>
      </c>
      <c r="S43" s="71" t="str">
        <f t="shared" si="5"/>
        <v/>
      </c>
      <c r="T43" s="72" t="str">
        <f t="shared" si="6"/>
        <v/>
      </c>
      <c r="U43" s="73" t="str">
        <f t="shared" si="7"/>
        <v>P</v>
      </c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64">
        <f>prelim!A44</f>
        <v>0</v>
      </c>
      <c r="B44" s="22">
        <f>prelim!B44</f>
        <v>0</v>
      </c>
      <c r="C44" s="74"/>
      <c r="D44" s="75"/>
      <c r="E44" s="75"/>
      <c r="F44" s="76"/>
      <c r="G44" s="76"/>
      <c r="H44" s="76"/>
      <c r="I44" s="76"/>
      <c r="J44" s="76"/>
      <c r="K44" s="76"/>
      <c r="L44" s="76"/>
      <c r="M44" s="67">
        <f t="shared" si="0"/>
        <v>0</v>
      </c>
      <c r="N44" s="77" t="e">
        <f t="shared" si="1"/>
        <v>#DIV/0!</v>
      </c>
      <c r="O44" s="78">
        <f t="shared" si="2"/>
        <v>0</v>
      </c>
      <c r="P44" s="54"/>
      <c r="Q44" s="77" t="str">
        <f t="shared" si="3"/>
        <v/>
      </c>
      <c r="R44" s="78" t="str">
        <f t="shared" si="4"/>
        <v xml:space="preserve"> </v>
      </c>
      <c r="S44" s="71" t="str">
        <f t="shared" si="5"/>
        <v/>
      </c>
      <c r="T44" s="72" t="str">
        <f t="shared" si="6"/>
        <v/>
      </c>
      <c r="U44" s="73" t="str">
        <f t="shared" si="7"/>
        <v>P</v>
      </c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64">
        <f>prelim!A45</f>
        <v>0</v>
      </c>
      <c r="B45" s="22">
        <f>prelim!B45</f>
        <v>0</v>
      </c>
      <c r="C45" s="74"/>
      <c r="D45" s="75"/>
      <c r="E45" s="75"/>
      <c r="F45" s="76"/>
      <c r="G45" s="76"/>
      <c r="H45" s="76"/>
      <c r="I45" s="76"/>
      <c r="J45" s="76"/>
      <c r="K45" s="76"/>
      <c r="L45" s="76"/>
      <c r="M45" s="67">
        <f t="shared" si="0"/>
        <v>0</v>
      </c>
      <c r="N45" s="77" t="e">
        <f t="shared" si="1"/>
        <v>#DIV/0!</v>
      </c>
      <c r="O45" s="78">
        <f t="shared" si="2"/>
        <v>0</v>
      </c>
      <c r="P45" s="54"/>
      <c r="Q45" s="77" t="str">
        <f t="shared" si="3"/>
        <v/>
      </c>
      <c r="R45" s="78" t="str">
        <f t="shared" si="4"/>
        <v xml:space="preserve"> </v>
      </c>
      <c r="S45" s="71" t="str">
        <f t="shared" si="5"/>
        <v/>
      </c>
      <c r="T45" s="72" t="str">
        <f t="shared" si="6"/>
        <v/>
      </c>
      <c r="U45" s="73" t="str">
        <f t="shared" si="7"/>
        <v>P</v>
      </c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64">
        <f>prelim!A46</f>
        <v>0</v>
      </c>
      <c r="B46" s="22">
        <f>prelim!B46</f>
        <v>0</v>
      </c>
      <c r="C46" s="74"/>
      <c r="D46" s="75"/>
      <c r="E46" s="75"/>
      <c r="F46" s="76"/>
      <c r="G46" s="76"/>
      <c r="H46" s="76"/>
      <c r="I46" s="76"/>
      <c r="J46" s="76"/>
      <c r="K46" s="76"/>
      <c r="L46" s="76"/>
      <c r="M46" s="67">
        <f t="shared" si="0"/>
        <v>0</v>
      </c>
      <c r="N46" s="77" t="e">
        <f t="shared" si="1"/>
        <v>#DIV/0!</v>
      </c>
      <c r="O46" s="78">
        <f t="shared" si="2"/>
        <v>0</v>
      </c>
      <c r="P46" s="54"/>
      <c r="Q46" s="77" t="str">
        <f t="shared" si="3"/>
        <v/>
      </c>
      <c r="R46" s="78" t="str">
        <f t="shared" si="4"/>
        <v xml:space="preserve"> </v>
      </c>
      <c r="S46" s="71" t="str">
        <f t="shared" si="5"/>
        <v/>
      </c>
      <c r="T46" s="72" t="str">
        <f t="shared" si="6"/>
        <v/>
      </c>
      <c r="U46" s="73" t="str">
        <f t="shared" si="7"/>
        <v>P</v>
      </c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64">
        <f>prelim!A47</f>
        <v>0</v>
      </c>
      <c r="B47" s="22">
        <f>prelim!B47</f>
        <v>0</v>
      </c>
      <c r="C47" s="74"/>
      <c r="D47" s="75"/>
      <c r="E47" s="75"/>
      <c r="F47" s="76"/>
      <c r="G47" s="76"/>
      <c r="H47" s="76"/>
      <c r="I47" s="76"/>
      <c r="J47" s="76"/>
      <c r="K47" s="76"/>
      <c r="L47" s="76"/>
      <c r="M47" s="67">
        <f t="shared" si="0"/>
        <v>0</v>
      </c>
      <c r="N47" s="77" t="e">
        <f t="shared" si="1"/>
        <v>#DIV/0!</v>
      </c>
      <c r="O47" s="78">
        <f t="shared" si="2"/>
        <v>0</v>
      </c>
      <c r="P47" s="54"/>
      <c r="Q47" s="77" t="str">
        <f t="shared" si="3"/>
        <v/>
      </c>
      <c r="R47" s="78" t="str">
        <f t="shared" si="4"/>
        <v xml:space="preserve"> </v>
      </c>
      <c r="S47" s="71" t="str">
        <f t="shared" si="5"/>
        <v/>
      </c>
      <c r="T47" s="72" t="str">
        <f t="shared" si="6"/>
        <v/>
      </c>
      <c r="U47" s="73" t="str">
        <f t="shared" si="7"/>
        <v>P</v>
      </c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64">
        <f>prelim!A48</f>
        <v>0</v>
      </c>
      <c r="B48" s="22">
        <f>prelim!B48</f>
        <v>0</v>
      </c>
      <c r="C48" s="74"/>
      <c r="D48" s="75"/>
      <c r="E48" s="75"/>
      <c r="F48" s="76"/>
      <c r="G48" s="76"/>
      <c r="H48" s="76"/>
      <c r="I48" s="76"/>
      <c r="J48" s="76"/>
      <c r="K48" s="76"/>
      <c r="L48" s="76"/>
      <c r="M48" s="67">
        <f t="shared" si="0"/>
        <v>0</v>
      </c>
      <c r="N48" s="77" t="e">
        <f t="shared" si="1"/>
        <v>#DIV/0!</v>
      </c>
      <c r="O48" s="78">
        <f t="shared" si="2"/>
        <v>0</v>
      </c>
      <c r="P48" s="54"/>
      <c r="Q48" s="77" t="str">
        <f t="shared" si="3"/>
        <v/>
      </c>
      <c r="R48" s="78" t="str">
        <f t="shared" si="4"/>
        <v xml:space="preserve"> </v>
      </c>
      <c r="S48" s="71" t="str">
        <f t="shared" si="5"/>
        <v/>
      </c>
      <c r="T48" s="72" t="str">
        <f t="shared" si="6"/>
        <v/>
      </c>
      <c r="U48" s="73" t="str">
        <f t="shared" si="7"/>
        <v>P</v>
      </c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64">
        <f>prelim!A49</f>
        <v>0</v>
      </c>
      <c r="B49" s="22">
        <f>prelim!B49</f>
        <v>0</v>
      </c>
      <c r="C49" s="74"/>
      <c r="D49" s="75"/>
      <c r="E49" s="75"/>
      <c r="F49" s="76"/>
      <c r="G49" s="76"/>
      <c r="H49" s="76"/>
      <c r="I49" s="76"/>
      <c r="J49" s="76"/>
      <c r="K49" s="76"/>
      <c r="L49" s="76"/>
      <c r="M49" s="67">
        <f t="shared" si="0"/>
        <v>0</v>
      </c>
      <c r="N49" s="77" t="e">
        <f t="shared" si="1"/>
        <v>#DIV/0!</v>
      </c>
      <c r="O49" s="78">
        <f t="shared" si="2"/>
        <v>0</v>
      </c>
      <c r="P49" s="54"/>
      <c r="Q49" s="77" t="str">
        <f t="shared" si="3"/>
        <v/>
      </c>
      <c r="R49" s="78" t="str">
        <f t="shared" si="4"/>
        <v xml:space="preserve"> </v>
      </c>
      <c r="S49" s="71" t="str">
        <f t="shared" si="5"/>
        <v/>
      </c>
      <c r="T49" s="72" t="str">
        <f t="shared" si="6"/>
        <v/>
      </c>
      <c r="U49" s="73" t="str">
        <f t="shared" si="7"/>
        <v>P</v>
      </c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64">
        <f>prelim!A50</f>
        <v>0</v>
      </c>
      <c r="B50" s="22">
        <f>prelim!B50</f>
        <v>0</v>
      </c>
      <c r="C50" s="74"/>
      <c r="D50" s="75"/>
      <c r="E50" s="75"/>
      <c r="F50" s="76"/>
      <c r="G50" s="76"/>
      <c r="H50" s="76"/>
      <c r="I50" s="76"/>
      <c r="J50" s="76"/>
      <c r="K50" s="76"/>
      <c r="L50" s="76"/>
      <c r="M50" s="67">
        <f t="shared" si="0"/>
        <v>0</v>
      </c>
      <c r="N50" s="77" t="e">
        <f t="shared" si="1"/>
        <v>#DIV/0!</v>
      </c>
      <c r="O50" s="78">
        <f t="shared" si="2"/>
        <v>0</v>
      </c>
      <c r="P50" s="54"/>
      <c r="Q50" s="77" t="str">
        <f t="shared" si="3"/>
        <v/>
      </c>
      <c r="R50" s="78" t="str">
        <f t="shared" si="4"/>
        <v xml:space="preserve"> </v>
      </c>
      <c r="S50" s="71" t="str">
        <f t="shared" si="5"/>
        <v/>
      </c>
      <c r="T50" s="72" t="str">
        <f t="shared" si="6"/>
        <v/>
      </c>
      <c r="U50" s="73" t="str">
        <f t="shared" si="7"/>
        <v>P</v>
      </c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64">
        <f>prelim!A51</f>
        <v>0</v>
      </c>
      <c r="B51" s="22">
        <f>prelim!B51</f>
        <v>0</v>
      </c>
      <c r="C51" s="74"/>
      <c r="D51" s="75"/>
      <c r="E51" s="75"/>
      <c r="F51" s="76"/>
      <c r="G51" s="76"/>
      <c r="H51" s="76"/>
      <c r="I51" s="76"/>
      <c r="J51" s="76"/>
      <c r="K51" s="76"/>
      <c r="L51" s="76"/>
      <c r="M51" s="67">
        <f t="shared" si="0"/>
        <v>0</v>
      </c>
      <c r="N51" s="77" t="e">
        <f t="shared" si="1"/>
        <v>#DIV/0!</v>
      </c>
      <c r="O51" s="78">
        <f t="shared" si="2"/>
        <v>0</v>
      </c>
      <c r="P51" s="54"/>
      <c r="Q51" s="77" t="str">
        <f t="shared" si="3"/>
        <v/>
      </c>
      <c r="R51" s="78" t="str">
        <f t="shared" si="4"/>
        <v xml:space="preserve"> </v>
      </c>
      <c r="S51" s="71" t="str">
        <f t="shared" si="5"/>
        <v/>
      </c>
      <c r="T51" s="72" t="str">
        <f t="shared" si="6"/>
        <v/>
      </c>
      <c r="U51" s="73" t="str">
        <f t="shared" si="7"/>
        <v>P</v>
      </c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64">
        <f>prelim!A52</f>
        <v>0</v>
      </c>
      <c r="B52" s="22">
        <f>prelim!B52</f>
        <v>0</v>
      </c>
      <c r="C52" s="74"/>
      <c r="D52" s="75"/>
      <c r="E52" s="75"/>
      <c r="F52" s="76"/>
      <c r="G52" s="76"/>
      <c r="H52" s="76"/>
      <c r="I52" s="76"/>
      <c r="J52" s="76"/>
      <c r="K52" s="76"/>
      <c r="L52" s="76"/>
      <c r="M52" s="67">
        <f t="shared" si="0"/>
        <v>0</v>
      </c>
      <c r="N52" s="77" t="e">
        <f t="shared" si="1"/>
        <v>#DIV/0!</v>
      </c>
      <c r="O52" s="78">
        <f t="shared" si="2"/>
        <v>0</v>
      </c>
      <c r="P52" s="54"/>
      <c r="Q52" s="77" t="str">
        <f t="shared" si="3"/>
        <v/>
      </c>
      <c r="R52" s="78" t="str">
        <f t="shared" si="4"/>
        <v xml:space="preserve"> </v>
      </c>
      <c r="S52" s="71" t="str">
        <f t="shared" si="5"/>
        <v/>
      </c>
      <c r="T52" s="72" t="str">
        <f t="shared" si="6"/>
        <v/>
      </c>
      <c r="U52" s="73" t="str">
        <f t="shared" si="7"/>
        <v>P</v>
      </c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64">
        <f>prelim!A53</f>
        <v>0</v>
      </c>
      <c r="B53" s="22">
        <f>prelim!B53</f>
        <v>0</v>
      </c>
      <c r="C53" s="74"/>
      <c r="D53" s="75"/>
      <c r="E53" s="75"/>
      <c r="F53" s="76"/>
      <c r="G53" s="76"/>
      <c r="H53" s="76"/>
      <c r="I53" s="76"/>
      <c r="J53" s="76"/>
      <c r="K53" s="76"/>
      <c r="L53" s="76"/>
      <c r="M53" s="67">
        <f t="shared" si="0"/>
        <v>0</v>
      </c>
      <c r="N53" s="77" t="e">
        <f t="shared" si="1"/>
        <v>#DIV/0!</v>
      </c>
      <c r="O53" s="78">
        <f t="shared" si="2"/>
        <v>0</v>
      </c>
      <c r="P53" s="54"/>
      <c r="Q53" s="77" t="str">
        <f t="shared" si="3"/>
        <v/>
      </c>
      <c r="R53" s="78" t="str">
        <f t="shared" si="4"/>
        <v xml:space="preserve"> </v>
      </c>
      <c r="S53" s="71" t="str">
        <f t="shared" si="5"/>
        <v/>
      </c>
      <c r="T53" s="72" t="str">
        <f t="shared" si="6"/>
        <v/>
      </c>
      <c r="U53" s="73" t="str">
        <f t="shared" si="7"/>
        <v>P</v>
      </c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64">
        <f>prelim!A54</f>
        <v>0</v>
      </c>
      <c r="B54" s="22">
        <f>prelim!B54</f>
        <v>0</v>
      </c>
      <c r="C54" s="74"/>
      <c r="D54" s="75"/>
      <c r="E54" s="75"/>
      <c r="F54" s="76"/>
      <c r="G54" s="76"/>
      <c r="H54" s="76"/>
      <c r="I54" s="76"/>
      <c r="J54" s="76"/>
      <c r="K54" s="76"/>
      <c r="L54" s="76"/>
      <c r="M54" s="67">
        <f t="shared" si="0"/>
        <v>0</v>
      </c>
      <c r="N54" s="77" t="e">
        <f t="shared" si="1"/>
        <v>#DIV/0!</v>
      </c>
      <c r="O54" s="78">
        <f t="shared" si="2"/>
        <v>0</v>
      </c>
      <c r="P54" s="54"/>
      <c r="Q54" s="77" t="str">
        <f t="shared" si="3"/>
        <v/>
      </c>
      <c r="R54" s="78" t="str">
        <f t="shared" si="4"/>
        <v xml:space="preserve"> </v>
      </c>
      <c r="S54" s="71" t="str">
        <f t="shared" si="5"/>
        <v/>
      </c>
      <c r="T54" s="72" t="str">
        <f t="shared" si="6"/>
        <v/>
      </c>
      <c r="U54" s="73" t="str">
        <f t="shared" si="7"/>
        <v>P</v>
      </c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64">
        <f>prelim!A55</f>
        <v>0</v>
      </c>
      <c r="B55" s="22">
        <f>prelim!B55</f>
        <v>0</v>
      </c>
      <c r="C55" s="74"/>
      <c r="D55" s="75"/>
      <c r="E55" s="75"/>
      <c r="F55" s="76"/>
      <c r="G55" s="76"/>
      <c r="H55" s="76"/>
      <c r="I55" s="76"/>
      <c r="J55" s="76"/>
      <c r="K55" s="76"/>
      <c r="L55" s="76"/>
      <c r="M55" s="67">
        <f t="shared" si="0"/>
        <v>0</v>
      </c>
      <c r="N55" s="77" t="e">
        <f t="shared" si="1"/>
        <v>#DIV/0!</v>
      </c>
      <c r="O55" s="78">
        <f t="shared" si="2"/>
        <v>0</v>
      </c>
      <c r="P55" s="54"/>
      <c r="Q55" s="77" t="str">
        <f t="shared" si="3"/>
        <v/>
      </c>
      <c r="R55" s="78" t="str">
        <f t="shared" si="4"/>
        <v xml:space="preserve"> </v>
      </c>
      <c r="S55" s="71" t="str">
        <f t="shared" si="5"/>
        <v/>
      </c>
      <c r="T55" s="72" t="str">
        <f t="shared" si="6"/>
        <v/>
      </c>
      <c r="U55" s="73" t="str">
        <f t="shared" si="7"/>
        <v>P</v>
      </c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64">
        <f>prelim!A56</f>
        <v>0</v>
      </c>
      <c r="B56" s="22">
        <f>prelim!B56</f>
        <v>0</v>
      </c>
      <c r="C56" s="74"/>
      <c r="D56" s="75"/>
      <c r="E56" s="75"/>
      <c r="F56" s="76"/>
      <c r="G56" s="76"/>
      <c r="H56" s="76"/>
      <c r="I56" s="76"/>
      <c r="J56" s="76"/>
      <c r="K56" s="76"/>
      <c r="L56" s="76"/>
      <c r="M56" s="67">
        <f t="shared" si="0"/>
        <v>0</v>
      </c>
      <c r="N56" s="77" t="e">
        <f t="shared" si="1"/>
        <v>#DIV/0!</v>
      </c>
      <c r="O56" s="78">
        <f t="shared" si="2"/>
        <v>0</v>
      </c>
      <c r="P56" s="54"/>
      <c r="Q56" s="77" t="str">
        <f t="shared" si="3"/>
        <v/>
      </c>
      <c r="R56" s="78" t="str">
        <f t="shared" si="4"/>
        <v xml:space="preserve"> </v>
      </c>
      <c r="S56" s="71" t="str">
        <f t="shared" si="5"/>
        <v/>
      </c>
      <c r="T56" s="72" t="str">
        <f t="shared" si="6"/>
        <v/>
      </c>
      <c r="U56" s="73" t="str">
        <f t="shared" si="7"/>
        <v>P</v>
      </c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3"/>
      <c r="B57" s="24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38"/>
      <c r="U57" s="38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3"/>
      <c r="B58" s="173" t="s">
        <v>16</v>
      </c>
      <c r="C58" s="119"/>
      <c r="D58" s="119"/>
      <c r="E58" s="119"/>
      <c r="F58" s="119"/>
      <c r="G58" s="119"/>
      <c r="H58" s="119"/>
      <c r="I58" s="119"/>
      <c r="J58" s="119"/>
      <c r="K58" s="173" t="s">
        <v>17</v>
      </c>
      <c r="L58" s="119"/>
      <c r="M58" s="119"/>
      <c r="N58" s="119"/>
      <c r="O58" s="119"/>
      <c r="P58" s="119"/>
      <c r="Q58" s="119"/>
      <c r="R58" s="119"/>
      <c r="S58" s="119"/>
      <c r="T58" s="119"/>
      <c r="U58" s="114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3"/>
      <c r="B59" s="162" t="s">
        <v>60</v>
      </c>
      <c r="C59" s="197"/>
      <c r="D59" s="197"/>
      <c r="E59" s="197"/>
      <c r="F59" s="197"/>
      <c r="G59" s="197"/>
      <c r="H59" s="197"/>
      <c r="I59" s="197"/>
      <c r="J59" s="197"/>
      <c r="K59" s="162" t="s">
        <v>59</v>
      </c>
      <c r="L59" s="199"/>
      <c r="M59" s="199"/>
      <c r="N59" s="199"/>
      <c r="O59" s="199"/>
      <c r="P59" s="199"/>
      <c r="Q59" s="199"/>
      <c r="R59" s="199"/>
      <c r="S59" s="199"/>
      <c r="T59" s="199"/>
      <c r="U59" s="200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198"/>
      <c r="C60" s="127"/>
      <c r="D60" s="127"/>
      <c r="E60" s="127"/>
      <c r="F60" s="127"/>
      <c r="G60" s="127"/>
      <c r="H60" s="127"/>
      <c r="I60" s="127"/>
      <c r="J60" s="127"/>
      <c r="K60" s="201"/>
      <c r="L60" s="202"/>
      <c r="M60" s="202"/>
      <c r="N60" s="202"/>
      <c r="O60" s="202"/>
      <c r="P60" s="202"/>
      <c r="Q60" s="202"/>
      <c r="R60" s="202"/>
      <c r="S60" s="202"/>
      <c r="T60" s="202"/>
      <c r="U60" s="203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174" t="s">
        <v>54</v>
      </c>
      <c r="C61" s="119"/>
      <c r="D61" s="119"/>
      <c r="E61" s="119"/>
      <c r="F61" s="119"/>
      <c r="G61" s="119"/>
      <c r="H61" s="119"/>
      <c r="I61" s="119"/>
      <c r="J61" s="119"/>
      <c r="K61" s="174" t="s">
        <v>58</v>
      </c>
      <c r="L61" s="195"/>
      <c r="M61" s="195"/>
      <c r="N61" s="195"/>
      <c r="O61" s="195"/>
      <c r="P61" s="195"/>
      <c r="Q61" s="195"/>
      <c r="R61" s="195"/>
      <c r="S61" s="195"/>
      <c r="T61" s="195"/>
      <c r="U61" s="196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6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39"/>
      <c r="U62" s="39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6" t="s">
        <v>18</v>
      </c>
      <c r="C63" s="27"/>
      <c r="D63" s="28"/>
      <c r="E63" s="28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35"/>
      <c r="Q63" s="25"/>
      <c r="R63" s="25"/>
      <c r="S63" s="25"/>
      <c r="T63" s="39"/>
      <c r="U63" s="39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9"/>
      <c r="C64" s="25" t="s">
        <v>19</v>
      </c>
      <c r="D64" s="28"/>
      <c r="E64" s="28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36"/>
      <c r="Q64" s="25"/>
      <c r="R64" s="25"/>
      <c r="S64" s="25"/>
      <c r="T64" s="39"/>
      <c r="U64" s="39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3"/>
      <c r="B65" s="28"/>
      <c r="C65" s="28"/>
      <c r="D65" s="28"/>
      <c r="E65" s="2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38"/>
      <c r="U65" s="38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</sheetData>
  <mergeCells count="23">
    <mergeCell ref="A6:U6"/>
    <mergeCell ref="A7:U7"/>
    <mergeCell ref="A8:U8"/>
    <mergeCell ref="C10:O10"/>
    <mergeCell ref="P10:U10"/>
    <mergeCell ref="C11:O11"/>
    <mergeCell ref="P11:U11"/>
    <mergeCell ref="C12:R12"/>
    <mergeCell ref="C13:O13"/>
    <mergeCell ref="P13:R13"/>
    <mergeCell ref="B58:J58"/>
    <mergeCell ref="K58:U58"/>
    <mergeCell ref="B61:J61"/>
    <mergeCell ref="K61:U61"/>
    <mergeCell ref="B59:J60"/>
    <mergeCell ref="K59:U60"/>
    <mergeCell ref="A12:A16"/>
    <mergeCell ref="B12:B16"/>
    <mergeCell ref="S12:S16"/>
    <mergeCell ref="T12:T16"/>
    <mergeCell ref="U12:U16"/>
    <mergeCell ref="C14:O14"/>
    <mergeCell ref="P14:R14"/>
  </mergeCells>
  <pageMargins left="0.7" right="1.2" top="0.75" bottom="0.75" header="0" footer="0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983"/>
  <sheetViews>
    <sheetView topLeftCell="A11" zoomScale="70" zoomScaleNormal="70" workbookViewId="0">
      <selection activeCell="Q16" sqref="Q16:Q55"/>
    </sheetView>
  </sheetViews>
  <sheetFormatPr defaultColWidth="14.453125" defaultRowHeight="15" customHeight="1"/>
  <cols>
    <col min="1" max="1" width="15.08984375" customWidth="1"/>
    <col min="2" max="2" width="60.36328125" customWidth="1"/>
    <col min="3" max="4" width="5" customWidth="1"/>
    <col min="5" max="5" width="4.6328125" customWidth="1"/>
    <col min="6" max="11" width="7" customWidth="1"/>
    <col min="12" max="12" width="8" customWidth="1"/>
    <col min="13" max="13" width="9.54296875" customWidth="1"/>
    <col min="14" max="17" width="9" customWidth="1"/>
    <col min="18" max="18" width="7.90625" customWidth="1"/>
    <col min="19" max="19" width="10.453125" customWidth="1"/>
    <col min="20" max="20" width="7.6328125" customWidth="1"/>
    <col min="21" max="21" width="9.08984375" customWidth="1"/>
    <col min="22" max="22" width="3.36328125" customWidth="1"/>
    <col min="23" max="27" width="9.08984375" customWidth="1"/>
  </cols>
  <sheetData>
    <row r="1" spans="1:27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25"/>
      <c r="U1" s="25"/>
      <c r="V1" s="25"/>
      <c r="W1" s="25"/>
      <c r="X1" s="25"/>
      <c r="Y1" s="25"/>
      <c r="Z1" s="25"/>
      <c r="AA1" s="25"/>
    </row>
    <row r="2" spans="1:27" ht="15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25"/>
      <c r="U2" s="25"/>
      <c r="V2" s="25"/>
      <c r="W2" s="25"/>
      <c r="X2" s="25"/>
      <c r="Y2" s="25"/>
      <c r="Z2" s="25"/>
      <c r="AA2" s="25"/>
    </row>
    <row r="3" spans="1:27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25"/>
      <c r="U3" s="25"/>
      <c r="V3" s="25"/>
      <c r="W3" s="25"/>
      <c r="X3" s="25"/>
      <c r="Y3" s="25"/>
      <c r="Z3" s="25"/>
      <c r="AA3" s="25"/>
    </row>
    <row r="4" spans="1:27" ht="15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7"/>
      <c r="S4" s="37"/>
      <c r="T4" s="25"/>
      <c r="U4" s="25"/>
      <c r="V4" s="25"/>
      <c r="W4" s="25"/>
      <c r="X4" s="25"/>
      <c r="Y4" s="25"/>
      <c r="Z4" s="25"/>
      <c r="AA4" s="25"/>
    </row>
    <row r="5" spans="1:27" ht="15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25"/>
      <c r="U5" s="25"/>
      <c r="V5" s="25"/>
      <c r="W5" s="25"/>
      <c r="X5" s="25"/>
      <c r="Y5" s="25"/>
      <c r="Z5" s="25"/>
      <c r="AA5" s="25"/>
    </row>
    <row r="6" spans="1:27" ht="15.75" customHeight="1">
      <c r="A6" s="182" t="s">
        <v>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56"/>
      <c r="X6" s="18"/>
      <c r="Y6" s="18"/>
      <c r="Z6" s="28"/>
      <c r="AA6" s="28"/>
    </row>
    <row r="7" spans="1:27" ht="15.75" customHeight="1">
      <c r="A7" s="183" t="s">
        <v>1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20"/>
      <c r="X7" s="19"/>
      <c r="Y7" s="19"/>
      <c r="Z7" s="28"/>
      <c r="AA7" s="28"/>
    </row>
    <row r="8" spans="1:27" ht="15.75" customHeight="1">
      <c r="A8" s="183" t="s">
        <v>57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20"/>
      <c r="X8" s="20"/>
      <c r="Y8" s="20"/>
      <c r="Z8" s="28"/>
      <c r="AA8" s="28"/>
    </row>
    <row r="9" spans="1:27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O9" s="30"/>
      <c r="P9" s="30"/>
      <c r="Q9" s="30" t="s">
        <v>2</v>
      </c>
      <c r="R9" s="30"/>
      <c r="S9" s="30"/>
      <c r="T9" s="30"/>
      <c r="U9" s="30"/>
      <c r="V9" s="30"/>
      <c r="Z9" s="28"/>
      <c r="AA9" s="28"/>
    </row>
    <row r="10" spans="1:27" ht="15.75" customHeight="1">
      <c r="A10" s="42" t="s">
        <v>63</v>
      </c>
      <c r="B10" s="57"/>
      <c r="C10" s="184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85"/>
      <c r="O10" s="192"/>
      <c r="P10" s="192"/>
      <c r="Q10" s="192"/>
      <c r="R10" s="192"/>
      <c r="S10" s="192"/>
      <c r="T10" s="192"/>
      <c r="U10" s="192"/>
      <c r="V10" s="193"/>
      <c r="W10" s="25"/>
      <c r="X10" s="25"/>
      <c r="Y10" s="25"/>
      <c r="Z10" s="25"/>
      <c r="AA10" s="25"/>
    </row>
    <row r="11" spans="1:27" ht="15.75" customHeight="1">
      <c r="A11" s="42" t="s">
        <v>61</v>
      </c>
      <c r="B11" s="57"/>
      <c r="C11" s="175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31"/>
      <c r="O11" s="32"/>
      <c r="P11" s="32"/>
      <c r="Q11" s="212"/>
      <c r="R11" s="127"/>
      <c r="S11" s="127"/>
      <c r="T11" s="127"/>
      <c r="U11" s="127"/>
      <c r="V11" s="205"/>
      <c r="W11" s="25"/>
      <c r="X11" s="25"/>
      <c r="Y11" s="25"/>
      <c r="Z11" s="25"/>
      <c r="AA11" s="25"/>
    </row>
    <row r="12" spans="1:27" ht="32.25" customHeight="1">
      <c r="A12" s="150" t="s">
        <v>3</v>
      </c>
      <c r="B12" s="210" t="s">
        <v>20</v>
      </c>
      <c r="C12" s="178" t="s">
        <v>64</v>
      </c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7"/>
      <c r="T12" s="159" t="s">
        <v>5</v>
      </c>
      <c r="U12" s="159" t="s">
        <v>23</v>
      </c>
      <c r="V12" s="159" t="s">
        <v>7</v>
      </c>
      <c r="W12" s="25"/>
      <c r="X12" s="25"/>
      <c r="Y12" s="25"/>
      <c r="Z12" s="25"/>
      <c r="AA12" s="25"/>
    </row>
    <row r="13" spans="1:27" ht="37.5" customHeight="1">
      <c r="A13" s="186"/>
      <c r="B13" s="188"/>
      <c r="C13" s="181" t="s">
        <v>8</v>
      </c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3"/>
      <c r="Q13" s="211" t="s">
        <v>9</v>
      </c>
      <c r="R13" s="192"/>
      <c r="S13" s="194"/>
      <c r="T13" s="190"/>
      <c r="U13" s="190"/>
      <c r="V13" s="190"/>
      <c r="W13" s="25"/>
      <c r="X13" s="25"/>
      <c r="Y13" s="25"/>
      <c r="Z13" s="25"/>
      <c r="AA13" s="25"/>
    </row>
    <row r="14" spans="1:27" ht="47.25" customHeight="1">
      <c r="A14" s="186"/>
      <c r="B14" s="188"/>
      <c r="C14" s="168" t="s">
        <v>10</v>
      </c>
      <c r="D14" s="192"/>
      <c r="E14" s="192"/>
      <c r="F14" s="192"/>
      <c r="G14" s="192"/>
      <c r="H14" s="192"/>
      <c r="I14" s="192"/>
      <c r="J14" s="192"/>
      <c r="K14" s="192"/>
      <c r="L14" s="192"/>
      <c r="M14" s="193"/>
      <c r="N14" s="211" t="s">
        <v>24</v>
      </c>
      <c r="O14" s="192"/>
      <c r="P14" s="193"/>
      <c r="Q14" s="211" t="s">
        <v>25</v>
      </c>
      <c r="R14" s="192"/>
      <c r="S14" s="194"/>
      <c r="T14" s="190"/>
      <c r="U14" s="190"/>
      <c r="V14" s="190"/>
      <c r="W14" s="25"/>
      <c r="X14" s="25"/>
      <c r="Y14" s="25"/>
      <c r="Z14" s="25"/>
      <c r="AA14" s="25"/>
    </row>
    <row r="15" spans="1:27" ht="47.25" customHeight="1">
      <c r="A15" s="186"/>
      <c r="B15" s="188"/>
      <c r="C15" s="58"/>
      <c r="D15" s="59"/>
      <c r="E15" s="59"/>
      <c r="F15" s="51"/>
      <c r="G15" s="51"/>
      <c r="H15" s="51"/>
      <c r="I15" s="51"/>
      <c r="J15" s="51"/>
      <c r="K15" s="51" t="s">
        <v>12</v>
      </c>
      <c r="L15" s="51" t="s">
        <v>13</v>
      </c>
      <c r="M15" s="51" t="s">
        <v>14</v>
      </c>
      <c r="N15" s="79" t="s">
        <v>12</v>
      </c>
      <c r="O15" s="51" t="s">
        <v>13</v>
      </c>
      <c r="P15" s="51" t="s">
        <v>14</v>
      </c>
      <c r="Q15" s="79" t="s">
        <v>12</v>
      </c>
      <c r="R15" s="51" t="s">
        <v>13</v>
      </c>
      <c r="S15" s="60" t="s">
        <v>14</v>
      </c>
      <c r="T15" s="190"/>
      <c r="U15" s="190"/>
      <c r="V15" s="190"/>
      <c r="W15" s="25"/>
      <c r="X15" s="25"/>
      <c r="Y15" s="25"/>
      <c r="Z15" s="25"/>
      <c r="AA15" s="25"/>
    </row>
    <row r="16" spans="1:27" ht="90" customHeight="1">
      <c r="A16" s="187"/>
      <c r="B16" s="189"/>
      <c r="C16" s="61"/>
      <c r="D16" s="52"/>
      <c r="E16" s="52"/>
      <c r="F16" s="52"/>
      <c r="G16" s="52"/>
      <c r="H16" s="52"/>
      <c r="I16" s="52"/>
      <c r="J16" s="52"/>
      <c r="K16" s="52">
        <f t="shared" ref="K16:K56" si="0">SUM(C16:J16)</f>
        <v>0</v>
      </c>
      <c r="L16" s="52" t="s">
        <v>15</v>
      </c>
      <c r="M16" s="62">
        <v>0.2</v>
      </c>
      <c r="N16" s="80"/>
      <c r="O16" s="52" t="s">
        <v>15</v>
      </c>
      <c r="P16" s="62">
        <v>0.2</v>
      </c>
      <c r="Q16" s="80"/>
      <c r="R16" s="52" t="s">
        <v>15</v>
      </c>
      <c r="S16" s="63">
        <v>0.6</v>
      </c>
      <c r="T16" s="191"/>
      <c r="U16" s="191"/>
      <c r="V16" s="191"/>
      <c r="W16" s="25"/>
      <c r="X16" s="25"/>
      <c r="Y16" s="25"/>
      <c r="Z16" s="25"/>
      <c r="AA16" s="25"/>
    </row>
    <row r="17" spans="1:27" ht="15.75" customHeight="1">
      <c r="A17" s="64">
        <f>prelim!A17</f>
        <v>0</v>
      </c>
      <c r="B17" s="22">
        <f>prelim!B17</f>
        <v>0</v>
      </c>
      <c r="C17" s="65"/>
      <c r="D17" s="66"/>
      <c r="E17" s="66"/>
      <c r="F17" s="67"/>
      <c r="G17" s="67"/>
      <c r="H17" s="67"/>
      <c r="I17" s="67"/>
      <c r="J17" s="67"/>
      <c r="K17" s="67">
        <f t="shared" si="0"/>
        <v>0</v>
      </c>
      <c r="L17" s="68" t="e">
        <f t="shared" ref="L17:L56" si="1">IF(OR(K17="",$M$16=""),"",IF(K17&gt;=$K$16/2,ROUND(100+(50*(K17-$K$16))/$K$16,0),ROUND(75+(20*(K17-$K$16/2)/$K$16),0)))</f>
        <v>#DIV/0!</v>
      </c>
      <c r="M17" s="69">
        <f t="shared" ref="M17:M56" si="2">IFERROR((L17*$M$16),0)</f>
        <v>0</v>
      </c>
      <c r="N17" s="66"/>
      <c r="O17" s="68" t="str">
        <f t="shared" ref="O17:O56" si="3">IF(OR(N17="",$N$16=""),"",IF(N17&gt;=$N$16/2,ROUND(100+(50*(N17-$N$16))/$N$16,0),ROUND(75+(20*(N17-$N$16/2)/$N$16),0)))</f>
        <v/>
      </c>
      <c r="P17" s="69" t="str">
        <f t="shared" ref="P17:P56" si="4">IFERROR((O17*$P$16)," ")</f>
        <v xml:space="preserve"> </v>
      </c>
      <c r="Q17" s="66"/>
      <c r="R17" s="68" t="str">
        <f t="shared" ref="R17:R56" si="5">IF(OR(Q17="",$Q$16=""),"",IF(Q17&gt;=$Q$16/2,ROUND(100+(50*(Q17-$Q$16))/$Q$16,0),ROUND(75+(20*(Q17-$Q$16/2)/$Q$16),0)))</f>
        <v/>
      </c>
      <c r="S17" s="69" t="str">
        <f t="shared" ref="S17:S56" si="6">IFERROR((R17*$S$16)," ")</f>
        <v xml:space="preserve"> </v>
      </c>
      <c r="T17" s="71" t="str">
        <f t="shared" ref="T17:T56" si="7">IFERROR((M17+P17+S17),"")</f>
        <v/>
      </c>
      <c r="U17" s="72" t="str">
        <f t="shared" ref="U17:U56" si="8">IF(T17="","",ROUND(T17,0))</f>
        <v/>
      </c>
      <c r="V17" s="73" t="str">
        <f t="shared" ref="V17:V56" si="9">IF((U17&lt;=74),"F","P")</f>
        <v>P</v>
      </c>
      <c r="W17" s="81"/>
      <c r="X17" s="25"/>
      <c r="Y17" s="25"/>
      <c r="Z17" s="25"/>
      <c r="AA17" s="25"/>
    </row>
    <row r="18" spans="1:27" ht="15.75" customHeight="1">
      <c r="A18" s="64">
        <f>prelim!A18</f>
        <v>0</v>
      </c>
      <c r="B18" s="22">
        <f>prelim!B18</f>
        <v>0</v>
      </c>
      <c r="C18" s="74"/>
      <c r="D18" s="75"/>
      <c r="E18" s="75"/>
      <c r="F18" s="76"/>
      <c r="G18" s="76"/>
      <c r="H18" s="76"/>
      <c r="I18" s="76"/>
      <c r="J18" s="76"/>
      <c r="K18" s="67">
        <f t="shared" si="0"/>
        <v>0</v>
      </c>
      <c r="L18" s="77" t="e">
        <f t="shared" si="1"/>
        <v>#DIV/0!</v>
      </c>
      <c r="M18" s="78">
        <f t="shared" si="2"/>
        <v>0</v>
      </c>
      <c r="N18" s="75"/>
      <c r="O18" s="68" t="str">
        <f t="shared" si="3"/>
        <v/>
      </c>
      <c r="P18" s="78" t="str">
        <f t="shared" si="4"/>
        <v xml:space="preserve"> </v>
      </c>
      <c r="Q18" s="75"/>
      <c r="R18" s="77" t="str">
        <f t="shared" si="5"/>
        <v/>
      </c>
      <c r="S18" s="78" t="str">
        <f t="shared" si="6"/>
        <v xml:space="preserve"> </v>
      </c>
      <c r="T18" s="71" t="str">
        <f t="shared" si="7"/>
        <v/>
      </c>
      <c r="U18" s="72" t="str">
        <f t="shared" si="8"/>
        <v/>
      </c>
      <c r="V18" s="73" t="str">
        <f t="shared" si="9"/>
        <v>P</v>
      </c>
      <c r="W18" s="81"/>
      <c r="X18" s="25"/>
      <c r="Y18" s="25"/>
      <c r="Z18" s="25"/>
      <c r="AA18" s="25"/>
    </row>
    <row r="19" spans="1:27" ht="15.75" customHeight="1">
      <c r="A19" s="64">
        <f>prelim!A19</f>
        <v>0</v>
      </c>
      <c r="B19" s="22">
        <f>prelim!B19</f>
        <v>0</v>
      </c>
      <c r="C19" s="74"/>
      <c r="D19" s="75"/>
      <c r="E19" s="75"/>
      <c r="F19" s="76"/>
      <c r="G19" s="76"/>
      <c r="H19" s="76"/>
      <c r="I19" s="76"/>
      <c r="J19" s="76"/>
      <c r="K19" s="67">
        <f t="shared" si="0"/>
        <v>0</v>
      </c>
      <c r="L19" s="77" t="e">
        <f t="shared" si="1"/>
        <v>#DIV/0!</v>
      </c>
      <c r="M19" s="78">
        <f t="shared" si="2"/>
        <v>0</v>
      </c>
      <c r="N19" s="75"/>
      <c r="O19" s="68" t="str">
        <f t="shared" si="3"/>
        <v/>
      </c>
      <c r="P19" s="78" t="str">
        <f t="shared" si="4"/>
        <v xml:space="preserve"> </v>
      </c>
      <c r="Q19" s="75"/>
      <c r="R19" s="77" t="str">
        <f t="shared" si="5"/>
        <v/>
      </c>
      <c r="S19" s="78" t="str">
        <f t="shared" si="6"/>
        <v xml:space="preserve"> </v>
      </c>
      <c r="T19" s="71" t="str">
        <f t="shared" si="7"/>
        <v/>
      </c>
      <c r="U19" s="72" t="str">
        <f t="shared" si="8"/>
        <v/>
      </c>
      <c r="V19" s="73" t="str">
        <f t="shared" si="9"/>
        <v>P</v>
      </c>
      <c r="W19" s="81"/>
      <c r="X19" s="25"/>
      <c r="Y19" s="25"/>
      <c r="Z19" s="25"/>
      <c r="AA19" s="25"/>
    </row>
    <row r="20" spans="1:27" ht="15.75" customHeight="1">
      <c r="A20" s="64">
        <f>prelim!A20</f>
        <v>0</v>
      </c>
      <c r="B20" s="22">
        <f>prelim!B20</f>
        <v>0</v>
      </c>
      <c r="C20" s="74"/>
      <c r="D20" s="75"/>
      <c r="E20" s="75"/>
      <c r="F20" s="76"/>
      <c r="G20" s="76"/>
      <c r="H20" s="76"/>
      <c r="I20" s="76"/>
      <c r="J20" s="76"/>
      <c r="K20" s="67">
        <f t="shared" si="0"/>
        <v>0</v>
      </c>
      <c r="L20" s="77" t="e">
        <f t="shared" si="1"/>
        <v>#DIV/0!</v>
      </c>
      <c r="M20" s="78">
        <f t="shared" si="2"/>
        <v>0</v>
      </c>
      <c r="N20" s="75"/>
      <c r="O20" s="68" t="str">
        <f t="shared" si="3"/>
        <v/>
      </c>
      <c r="P20" s="78" t="str">
        <f t="shared" si="4"/>
        <v xml:space="preserve"> </v>
      </c>
      <c r="Q20" s="75"/>
      <c r="R20" s="77" t="str">
        <f t="shared" si="5"/>
        <v/>
      </c>
      <c r="S20" s="78" t="str">
        <f t="shared" si="6"/>
        <v xml:space="preserve"> </v>
      </c>
      <c r="T20" s="71" t="str">
        <f t="shared" si="7"/>
        <v/>
      </c>
      <c r="U20" s="72" t="str">
        <f t="shared" si="8"/>
        <v/>
      </c>
      <c r="V20" s="73" t="str">
        <f t="shared" si="9"/>
        <v>P</v>
      </c>
      <c r="W20" s="81"/>
      <c r="X20" s="25"/>
      <c r="Y20" s="25"/>
      <c r="Z20" s="25"/>
      <c r="AA20" s="25"/>
    </row>
    <row r="21" spans="1:27" ht="15.75" customHeight="1">
      <c r="A21" s="64">
        <f>prelim!A21</f>
        <v>0</v>
      </c>
      <c r="B21" s="22">
        <f>prelim!B21</f>
        <v>0</v>
      </c>
      <c r="C21" s="74"/>
      <c r="D21" s="75"/>
      <c r="E21" s="75"/>
      <c r="F21" s="76"/>
      <c r="G21" s="76"/>
      <c r="H21" s="76"/>
      <c r="I21" s="76"/>
      <c r="J21" s="76"/>
      <c r="K21" s="67">
        <f t="shared" si="0"/>
        <v>0</v>
      </c>
      <c r="L21" s="77" t="e">
        <f t="shared" si="1"/>
        <v>#DIV/0!</v>
      </c>
      <c r="M21" s="78">
        <f t="shared" si="2"/>
        <v>0</v>
      </c>
      <c r="N21" s="75"/>
      <c r="O21" s="68" t="str">
        <f t="shared" si="3"/>
        <v/>
      </c>
      <c r="P21" s="78" t="str">
        <f t="shared" si="4"/>
        <v xml:space="preserve"> </v>
      </c>
      <c r="Q21" s="75"/>
      <c r="R21" s="77" t="str">
        <f t="shared" si="5"/>
        <v/>
      </c>
      <c r="S21" s="78" t="str">
        <f t="shared" si="6"/>
        <v xml:space="preserve"> </v>
      </c>
      <c r="T21" s="71" t="str">
        <f t="shared" si="7"/>
        <v/>
      </c>
      <c r="U21" s="72" t="str">
        <f t="shared" si="8"/>
        <v/>
      </c>
      <c r="V21" s="73" t="str">
        <f t="shared" si="9"/>
        <v>P</v>
      </c>
      <c r="W21" s="81"/>
      <c r="X21" s="25"/>
      <c r="Y21" s="25"/>
      <c r="Z21" s="25"/>
      <c r="AA21" s="25"/>
    </row>
    <row r="22" spans="1:27" ht="15.75" customHeight="1">
      <c r="A22" s="64">
        <f>prelim!A22</f>
        <v>0</v>
      </c>
      <c r="B22" s="22">
        <f>prelim!B22</f>
        <v>0</v>
      </c>
      <c r="C22" s="74"/>
      <c r="D22" s="75"/>
      <c r="E22" s="75"/>
      <c r="F22" s="76"/>
      <c r="G22" s="76"/>
      <c r="H22" s="76"/>
      <c r="I22" s="76"/>
      <c r="J22" s="76"/>
      <c r="K22" s="67">
        <f t="shared" si="0"/>
        <v>0</v>
      </c>
      <c r="L22" s="77" t="e">
        <f t="shared" si="1"/>
        <v>#DIV/0!</v>
      </c>
      <c r="M22" s="78">
        <f t="shared" si="2"/>
        <v>0</v>
      </c>
      <c r="N22" s="75"/>
      <c r="O22" s="68" t="str">
        <f t="shared" si="3"/>
        <v/>
      </c>
      <c r="P22" s="78" t="str">
        <f t="shared" si="4"/>
        <v xml:space="preserve"> </v>
      </c>
      <c r="Q22" s="75"/>
      <c r="R22" s="77" t="str">
        <f t="shared" si="5"/>
        <v/>
      </c>
      <c r="S22" s="78" t="str">
        <f t="shared" si="6"/>
        <v xml:space="preserve"> </v>
      </c>
      <c r="T22" s="71" t="str">
        <f t="shared" si="7"/>
        <v/>
      </c>
      <c r="U22" s="72" t="str">
        <f t="shared" si="8"/>
        <v/>
      </c>
      <c r="V22" s="73" t="str">
        <f t="shared" si="9"/>
        <v>P</v>
      </c>
      <c r="W22" s="81"/>
      <c r="X22" s="25"/>
      <c r="Y22" s="25"/>
      <c r="Z22" s="25"/>
      <c r="AA22" s="25"/>
    </row>
    <row r="23" spans="1:27" ht="15.75" customHeight="1">
      <c r="A23" s="64">
        <f>prelim!A23</f>
        <v>0</v>
      </c>
      <c r="B23" s="22">
        <f>prelim!B23</f>
        <v>0</v>
      </c>
      <c r="C23" s="74"/>
      <c r="D23" s="75"/>
      <c r="E23" s="75"/>
      <c r="F23" s="76"/>
      <c r="G23" s="76"/>
      <c r="H23" s="76"/>
      <c r="I23" s="76"/>
      <c r="J23" s="76"/>
      <c r="K23" s="67">
        <f t="shared" si="0"/>
        <v>0</v>
      </c>
      <c r="L23" s="77" t="e">
        <f t="shared" si="1"/>
        <v>#DIV/0!</v>
      </c>
      <c r="M23" s="78">
        <f t="shared" si="2"/>
        <v>0</v>
      </c>
      <c r="N23" s="75"/>
      <c r="O23" s="68" t="str">
        <f t="shared" si="3"/>
        <v/>
      </c>
      <c r="P23" s="78" t="str">
        <f t="shared" si="4"/>
        <v xml:space="preserve"> </v>
      </c>
      <c r="Q23" s="75"/>
      <c r="R23" s="77" t="str">
        <f t="shared" si="5"/>
        <v/>
      </c>
      <c r="S23" s="78" t="str">
        <f t="shared" si="6"/>
        <v xml:space="preserve"> </v>
      </c>
      <c r="T23" s="71" t="str">
        <f t="shared" si="7"/>
        <v/>
      </c>
      <c r="U23" s="72" t="str">
        <f t="shared" si="8"/>
        <v/>
      </c>
      <c r="V23" s="73" t="str">
        <f t="shared" si="9"/>
        <v>P</v>
      </c>
      <c r="W23" s="81"/>
      <c r="X23" s="25"/>
      <c r="Y23" s="25"/>
      <c r="Z23" s="25"/>
      <c r="AA23" s="25"/>
    </row>
    <row r="24" spans="1:27" ht="15.75" customHeight="1">
      <c r="A24" s="64">
        <f>prelim!A24</f>
        <v>0</v>
      </c>
      <c r="B24" s="22">
        <f>prelim!B24</f>
        <v>0</v>
      </c>
      <c r="C24" s="74"/>
      <c r="D24" s="75"/>
      <c r="E24" s="75"/>
      <c r="F24" s="76"/>
      <c r="G24" s="76"/>
      <c r="H24" s="76"/>
      <c r="I24" s="76"/>
      <c r="J24" s="76"/>
      <c r="K24" s="67">
        <f t="shared" si="0"/>
        <v>0</v>
      </c>
      <c r="L24" s="77" t="e">
        <f t="shared" si="1"/>
        <v>#DIV/0!</v>
      </c>
      <c r="M24" s="78">
        <f t="shared" si="2"/>
        <v>0</v>
      </c>
      <c r="N24" s="75"/>
      <c r="O24" s="68" t="str">
        <f t="shared" si="3"/>
        <v/>
      </c>
      <c r="P24" s="78" t="str">
        <f t="shared" si="4"/>
        <v xml:space="preserve"> </v>
      </c>
      <c r="Q24" s="75"/>
      <c r="R24" s="77" t="str">
        <f t="shared" si="5"/>
        <v/>
      </c>
      <c r="S24" s="78" t="str">
        <f t="shared" si="6"/>
        <v xml:space="preserve"> </v>
      </c>
      <c r="T24" s="71" t="str">
        <f t="shared" si="7"/>
        <v/>
      </c>
      <c r="U24" s="72" t="str">
        <f t="shared" si="8"/>
        <v/>
      </c>
      <c r="V24" s="73" t="str">
        <f t="shared" si="9"/>
        <v>P</v>
      </c>
      <c r="W24" s="81"/>
      <c r="X24" s="25"/>
      <c r="Y24" s="25"/>
      <c r="Z24" s="25"/>
      <c r="AA24" s="25"/>
    </row>
    <row r="25" spans="1:27" ht="15.75" customHeight="1">
      <c r="A25" s="64">
        <f>prelim!A25</f>
        <v>0</v>
      </c>
      <c r="B25" s="22">
        <f>prelim!B25</f>
        <v>0</v>
      </c>
      <c r="C25" s="74"/>
      <c r="D25" s="75"/>
      <c r="E25" s="75"/>
      <c r="F25" s="76"/>
      <c r="G25" s="76"/>
      <c r="H25" s="76"/>
      <c r="I25" s="76"/>
      <c r="J25" s="76"/>
      <c r="K25" s="67">
        <f t="shared" si="0"/>
        <v>0</v>
      </c>
      <c r="L25" s="77" t="e">
        <f t="shared" si="1"/>
        <v>#DIV/0!</v>
      </c>
      <c r="M25" s="78">
        <f t="shared" si="2"/>
        <v>0</v>
      </c>
      <c r="N25" s="75"/>
      <c r="O25" s="68" t="str">
        <f t="shared" si="3"/>
        <v/>
      </c>
      <c r="P25" s="78" t="str">
        <f t="shared" si="4"/>
        <v xml:space="preserve"> </v>
      </c>
      <c r="Q25" s="75"/>
      <c r="R25" s="77" t="str">
        <f t="shared" si="5"/>
        <v/>
      </c>
      <c r="S25" s="78" t="str">
        <f t="shared" si="6"/>
        <v xml:space="preserve"> </v>
      </c>
      <c r="T25" s="71" t="str">
        <f t="shared" si="7"/>
        <v/>
      </c>
      <c r="U25" s="72" t="str">
        <f t="shared" si="8"/>
        <v/>
      </c>
      <c r="V25" s="73" t="str">
        <f t="shared" si="9"/>
        <v>P</v>
      </c>
      <c r="W25" s="81"/>
      <c r="X25" s="25"/>
      <c r="Y25" s="25"/>
      <c r="Z25" s="25"/>
      <c r="AA25" s="25"/>
    </row>
    <row r="26" spans="1:27" ht="15.75" customHeight="1">
      <c r="A26" s="64">
        <f>prelim!A26</f>
        <v>0</v>
      </c>
      <c r="B26" s="22">
        <f>prelim!B26</f>
        <v>0</v>
      </c>
      <c r="C26" s="74"/>
      <c r="D26" s="75"/>
      <c r="E26" s="75"/>
      <c r="F26" s="76"/>
      <c r="G26" s="76"/>
      <c r="H26" s="76"/>
      <c r="I26" s="76"/>
      <c r="J26" s="76"/>
      <c r="K26" s="67">
        <f t="shared" si="0"/>
        <v>0</v>
      </c>
      <c r="L26" s="77" t="e">
        <f t="shared" si="1"/>
        <v>#DIV/0!</v>
      </c>
      <c r="M26" s="78">
        <f t="shared" si="2"/>
        <v>0</v>
      </c>
      <c r="N26" s="75"/>
      <c r="O26" s="68" t="str">
        <f t="shared" si="3"/>
        <v/>
      </c>
      <c r="P26" s="78" t="str">
        <f t="shared" si="4"/>
        <v xml:space="preserve"> </v>
      </c>
      <c r="Q26" s="75"/>
      <c r="R26" s="77" t="str">
        <f t="shared" si="5"/>
        <v/>
      </c>
      <c r="S26" s="78" t="str">
        <f t="shared" si="6"/>
        <v xml:space="preserve"> </v>
      </c>
      <c r="T26" s="71" t="str">
        <f t="shared" si="7"/>
        <v/>
      </c>
      <c r="U26" s="72" t="str">
        <f t="shared" si="8"/>
        <v/>
      </c>
      <c r="V26" s="73" t="str">
        <f t="shared" si="9"/>
        <v>P</v>
      </c>
      <c r="W26" s="81"/>
      <c r="X26" s="25"/>
      <c r="Y26" s="25"/>
      <c r="Z26" s="25"/>
      <c r="AA26" s="25"/>
    </row>
    <row r="27" spans="1:27" ht="15.75" customHeight="1">
      <c r="A27" s="64">
        <f>prelim!A27</f>
        <v>0</v>
      </c>
      <c r="B27" s="22">
        <f>prelim!B27</f>
        <v>0</v>
      </c>
      <c r="C27" s="74"/>
      <c r="D27" s="75"/>
      <c r="E27" s="75"/>
      <c r="F27" s="76"/>
      <c r="G27" s="76"/>
      <c r="H27" s="76"/>
      <c r="I27" s="76"/>
      <c r="J27" s="76"/>
      <c r="K27" s="67">
        <f t="shared" si="0"/>
        <v>0</v>
      </c>
      <c r="L27" s="77" t="e">
        <f t="shared" si="1"/>
        <v>#DIV/0!</v>
      </c>
      <c r="M27" s="78">
        <f t="shared" si="2"/>
        <v>0</v>
      </c>
      <c r="N27" s="75"/>
      <c r="O27" s="68" t="str">
        <f t="shared" si="3"/>
        <v/>
      </c>
      <c r="P27" s="78" t="str">
        <f t="shared" si="4"/>
        <v xml:space="preserve"> </v>
      </c>
      <c r="Q27" s="75"/>
      <c r="R27" s="77" t="str">
        <f t="shared" si="5"/>
        <v/>
      </c>
      <c r="S27" s="78" t="str">
        <f t="shared" si="6"/>
        <v xml:space="preserve"> </v>
      </c>
      <c r="T27" s="71" t="str">
        <f t="shared" si="7"/>
        <v/>
      </c>
      <c r="U27" s="72" t="str">
        <f t="shared" si="8"/>
        <v/>
      </c>
      <c r="V27" s="73" t="str">
        <f t="shared" si="9"/>
        <v>P</v>
      </c>
      <c r="W27" s="81"/>
      <c r="X27" s="25"/>
      <c r="Y27" s="25"/>
      <c r="Z27" s="25"/>
      <c r="AA27" s="25"/>
    </row>
    <row r="28" spans="1:27" ht="15.75" customHeight="1">
      <c r="A28" s="64">
        <f>prelim!A28</f>
        <v>0</v>
      </c>
      <c r="B28" s="22">
        <f>prelim!B28</f>
        <v>0</v>
      </c>
      <c r="C28" s="74"/>
      <c r="D28" s="75"/>
      <c r="E28" s="75"/>
      <c r="F28" s="76"/>
      <c r="G28" s="76"/>
      <c r="H28" s="76"/>
      <c r="I28" s="76"/>
      <c r="J28" s="76"/>
      <c r="K28" s="67">
        <f t="shared" si="0"/>
        <v>0</v>
      </c>
      <c r="L28" s="77" t="e">
        <f t="shared" si="1"/>
        <v>#DIV/0!</v>
      </c>
      <c r="M28" s="78">
        <f t="shared" si="2"/>
        <v>0</v>
      </c>
      <c r="N28" s="75"/>
      <c r="O28" s="68" t="str">
        <f t="shared" si="3"/>
        <v/>
      </c>
      <c r="P28" s="78" t="str">
        <f t="shared" si="4"/>
        <v xml:space="preserve"> </v>
      </c>
      <c r="Q28" s="75"/>
      <c r="R28" s="77" t="str">
        <f t="shared" si="5"/>
        <v/>
      </c>
      <c r="S28" s="78" t="str">
        <f t="shared" si="6"/>
        <v xml:space="preserve"> </v>
      </c>
      <c r="T28" s="71" t="str">
        <f t="shared" si="7"/>
        <v/>
      </c>
      <c r="U28" s="72" t="str">
        <f t="shared" si="8"/>
        <v/>
      </c>
      <c r="V28" s="73" t="str">
        <f t="shared" si="9"/>
        <v>P</v>
      </c>
      <c r="W28" s="81"/>
      <c r="X28" s="25"/>
      <c r="Y28" s="25"/>
      <c r="Z28" s="25"/>
      <c r="AA28" s="25"/>
    </row>
    <row r="29" spans="1:27" ht="15.75" customHeight="1">
      <c r="A29" s="64">
        <f>prelim!A29</f>
        <v>0</v>
      </c>
      <c r="B29" s="22">
        <f>prelim!B29</f>
        <v>0</v>
      </c>
      <c r="C29" s="74"/>
      <c r="D29" s="75"/>
      <c r="E29" s="75"/>
      <c r="F29" s="76"/>
      <c r="G29" s="76"/>
      <c r="H29" s="76"/>
      <c r="I29" s="76"/>
      <c r="J29" s="76"/>
      <c r="K29" s="67">
        <f t="shared" si="0"/>
        <v>0</v>
      </c>
      <c r="L29" s="77" t="e">
        <f t="shared" si="1"/>
        <v>#DIV/0!</v>
      </c>
      <c r="M29" s="78">
        <f t="shared" si="2"/>
        <v>0</v>
      </c>
      <c r="N29" s="75"/>
      <c r="O29" s="68" t="str">
        <f t="shared" si="3"/>
        <v/>
      </c>
      <c r="P29" s="78" t="str">
        <f t="shared" si="4"/>
        <v xml:space="preserve"> </v>
      </c>
      <c r="Q29" s="75"/>
      <c r="R29" s="77" t="str">
        <f t="shared" si="5"/>
        <v/>
      </c>
      <c r="S29" s="78" t="str">
        <f t="shared" si="6"/>
        <v xml:space="preserve"> </v>
      </c>
      <c r="T29" s="71" t="str">
        <f t="shared" si="7"/>
        <v/>
      </c>
      <c r="U29" s="72" t="str">
        <f t="shared" si="8"/>
        <v/>
      </c>
      <c r="V29" s="73" t="str">
        <f t="shared" si="9"/>
        <v>P</v>
      </c>
      <c r="W29" s="81"/>
      <c r="X29" s="25"/>
      <c r="Y29" s="25"/>
      <c r="Z29" s="25"/>
      <c r="AA29" s="25"/>
    </row>
    <row r="30" spans="1:27" ht="15.75" customHeight="1">
      <c r="A30" s="64">
        <f>prelim!A30</f>
        <v>0</v>
      </c>
      <c r="B30" s="22">
        <f>prelim!B30</f>
        <v>0</v>
      </c>
      <c r="C30" s="74"/>
      <c r="D30" s="75"/>
      <c r="E30" s="75"/>
      <c r="F30" s="76"/>
      <c r="G30" s="76"/>
      <c r="H30" s="76"/>
      <c r="I30" s="76"/>
      <c r="J30" s="76"/>
      <c r="K30" s="67">
        <f t="shared" si="0"/>
        <v>0</v>
      </c>
      <c r="L30" s="77" t="e">
        <f t="shared" si="1"/>
        <v>#DIV/0!</v>
      </c>
      <c r="M30" s="78">
        <f t="shared" si="2"/>
        <v>0</v>
      </c>
      <c r="N30" s="75"/>
      <c r="O30" s="68" t="str">
        <f t="shared" si="3"/>
        <v/>
      </c>
      <c r="P30" s="78" t="str">
        <f t="shared" si="4"/>
        <v xml:space="preserve"> </v>
      </c>
      <c r="Q30" s="75"/>
      <c r="R30" s="77" t="str">
        <f t="shared" si="5"/>
        <v/>
      </c>
      <c r="S30" s="78" t="str">
        <f t="shared" si="6"/>
        <v xml:space="preserve"> </v>
      </c>
      <c r="T30" s="71" t="str">
        <f t="shared" si="7"/>
        <v/>
      </c>
      <c r="U30" s="72" t="str">
        <f t="shared" si="8"/>
        <v/>
      </c>
      <c r="V30" s="73" t="str">
        <f t="shared" si="9"/>
        <v>P</v>
      </c>
      <c r="W30" s="81"/>
      <c r="X30" s="25"/>
      <c r="Y30" s="25"/>
      <c r="Z30" s="25"/>
      <c r="AA30" s="25"/>
    </row>
    <row r="31" spans="1:27" ht="15.75" customHeight="1">
      <c r="A31" s="64">
        <f>prelim!A31</f>
        <v>0</v>
      </c>
      <c r="B31" s="22">
        <f>prelim!B31</f>
        <v>0</v>
      </c>
      <c r="C31" s="74"/>
      <c r="D31" s="75"/>
      <c r="E31" s="75"/>
      <c r="F31" s="76"/>
      <c r="G31" s="76"/>
      <c r="H31" s="76"/>
      <c r="I31" s="76"/>
      <c r="J31" s="76"/>
      <c r="K31" s="67">
        <f t="shared" si="0"/>
        <v>0</v>
      </c>
      <c r="L31" s="77" t="e">
        <f t="shared" si="1"/>
        <v>#DIV/0!</v>
      </c>
      <c r="M31" s="78">
        <f t="shared" si="2"/>
        <v>0</v>
      </c>
      <c r="N31" s="75"/>
      <c r="O31" s="68" t="str">
        <f t="shared" si="3"/>
        <v/>
      </c>
      <c r="P31" s="78" t="str">
        <f t="shared" si="4"/>
        <v xml:space="preserve"> </v>
      </c>
      <c r="Q31" s="75"/>
      <c r="R31" s="77" t="str">
        <f t="shared" si="5"/>
        <v/>
      </c>
      <c r="S31" s="78" t="str">
        <f t="shared" si="6"/>
        <v xml:space="preserve"> </v>
      </c>
      <c r="T31" s="71" t="str">
        <f t="shared" si="7"/>
        <v/>
      </c>
      <c r="U31" s="72" t="str">
        <f t="shared" si="8"/>
        <v/>
      </c>
      <c r="V31" s="73" t="str">
        <f t="shared" si="9"/>
        <v>P</v>
      </c>
      <c r="W31" s="81"/>
      <c r="X31" s="25"/>
      <c r="Y31" s="25"/>
      <c r="Z31" s="25"/>
      <c r="AA31" s="25"/>
    </row>
    <row r="32" spans="1:27" ht="15.75" customHeight="1">
      <c r="A32" s="64">
        <f>prelim!A32</f>
        <v>0</v>
      </c>
      <c r="B32" s="22">
        <f>prelim!B32</f>
        <v>0</v>
      </c>
      <c r="C32" s="74"/>
      <c r="D32" s="75"/>
      <c r="E32" s="75"/>
      <c r="F32" s="76"/>
      <c r="G32" s="76"/>
      <c r="H32" s="76"/>
      <c r="I32" s="76"/>
      <c r="J32" s="76"/>
      <c r="K32" s="67">
        <f t="shared" si="0"/>
        <v>0</v>
      </c>
      <c r="L32" s="77" t="e">
        <f t="shared" si="1"/>
        <v>#DIV/0!</v>
      </c>
      <c r="M32" s="78">
        <f t="shared" si="2"/>
        <v>0</v>
      </c>
      <c r="N32" s="75"/>
      <c r="O32" s="68" t="str">
        <f t="shared" si="3"/>
        <v/>
      </c>
      <c r="P32" s="78" t="str">
        <f t="shared" si="4"/>
        <v xml:space="preserve"> </v>
      </c>
      <c r="Q32" s="75"/>
      <c r="R32" s="77" t="str">
        <f t="shared" si="5"/>
        <v/>
      </c>
      <c r="S32" s="78" t="str">
        <f t="shared" si="6"/>
        <v xml:space="preserve"> </v>
      </c>
      <c r="T32" s="71" t="str">
        <f t="shared" si="7"/>
        <v/>
      </c>
      <c r="U32" s="72" t="str">
        <f t="shared" si="8"/>
        <v/>
      </c>
      <c r="V32" s="73" t="str">
        <f t="shared" si="9"/>
        <v>P</v>
      </c>
      <c r="W32" s="81"/>
      <c r="X32" s="25"/>
      <c r="Y32" s="25"/>
      <c r="Z32" s="25"/>
      <c r="AA32" s="25"/>
    </row>
    <row r="33" spans="1:27" ht="15.75" customHeight="1">
      <c r="A33" s="64">
        <f>prelim!A33</f>
        <v>0</v>
      </c>
      <c r="B33" s="22">
        <f>prelim!B33</f>
        <v>0</v>
      </c>
      <c r="C33" s="74"/>
      <c r="D33" s="75"/>
      <c r="E33" s="75"/>
      <c r="F33" s="76"/>
      <c r="G33" s="76"/>
      <c r="H33" s="76"/>
      <c r="I33" s="76"/>
      <c r="J33" s="76"/>
      <c r="K33" s="67">
        <f t="shared" si="0"/>
        <v>0</v>
      </c>
      <c r="L33" s="77" t="e">
        <f t="shared" si="1"/>
        <v>#DIV/0!</v>
      </c>
      <c r="M33" s="78">
        <f t="shared" si="2"/>
        <v>0</v>
      </c>
      <c r="N33" s="75"/>
      <c r="O33" s="68" t="str">
        <f t="shared" si="3"/>
        <v/>
      </c>
      <c r="P33" s="78" t="str">
        <f t="shared" si="4"/>
        <v xml:space="preserve"> </v>
      </c>
      <c r="Q33" s="75"/>
      <c r="R33" s="77" t="str">
        <f t="shared" si="5"/>
        <v/>
      </c>
      <c r="S33" s="78" t="str">
        <f t="shared" si="6"/>
        <v xml:space="preserve"> </v>
      </c>
      <c r="T33" s="71" t="str">
        <f t="shared" si="7"/>
        <v/>
      </c>
      <c r="U33" s="72" t="str">
        <f t="shared" si="8"/>
        <v/>
      </c>
      <c r="V33" s="73" t="str">
        <f t="shared" si="9"/>
        <v>P</v>
      </c>
      <c r="W33" s="81"/>
      <c r="X33" s="25"/>
      <c r="Y33" s="25"/>
      <c r="Z33" s="25"/>
      <c r="AA33" s="25"/>
    </row>
    <row r="34" spans="1:27" ht="15.75" customHeight="1">
      <c r="A34" s="64">
        <f>prelim!A34</f>
        <v>0</v>
      </c>
      <c r="B34" s="22">
        <f>prelim!B34</f>
        <v>0</v>
      </c>
      <c r="C34" s="74"/>
      <c r="D34" s="75"/>
      <c r="E34" s="75"/>
      <c r="F34" s="76"/>
      <c r="G34" s="76"/>
      <c r="H34" s="76"/>
      <c r="I34" s="76"/>
      <c r="J34" s="76"/>
      <c r="K34" s="67">
        <f t="shared" si="0"/>
        <v>0</v>
      </c>
      <c r="L34" s="77" t="e">
        <f t="shared" si="1"/>
        <v>#DIV/0!</v>
      </c>
      <c r="M34" s="78">
        <f t="shared" si="2"/>
        <v>0</v>
      </c>
      <c r="N34" s="75"/>
      <c r="O34" s="68" t="str">
        <f t="shared" si="3"/>
        <v/>
      </c>
      <c r="P34" s="78" t="str">
        <f t="shared" si="4"/>
        <v xml:space="preserve"> </v>
      </c>
      <c r="Q34" s="75"/>
      <c r="R34" s="77" t="str">
        <f t="shared" si="5"/>
        <v/>
      </c>
      <c r="S34" s="78" t="str">
        <f t="shared" si="6"/>
        <v xml:space="preserve"> </v>
      </c>
      <c r="T34" s="71" t="str">
        <f t="shared" si="7"/>
        <v/>
      </c>
      <c r="U34" s="72" t="str">
        <f t="shared" si="8"/>
        <v/>
      </c>
      <c r="V34" s="73" t="str">
        <f t="shared" si="9"/>
        <v>P</v>
      </c>
      <c r="W34" s="81"/>
      <c r="X34" s="25"/>
      <c r="Y34" s="25"/>
      <c r="Z34" s="25"/>
      <c r="AA34" s="25"/>
    </row>
    <row r="35" spans="1:27" ht="15.75" customHeight="1">
      <c r="A35" s="64">
        <f>prelim!A35</f>
        <v>0</v>
      </c>
      <c r="B35" s="22">
        <f>prelim!B35</f>
        <v>0</v>
      </c>
      <c r="C35" s="74"/>
      <c r="D35" s="75"/>
      <c r="E35" s="75"/>
      <c r="F35" s="76"/>
      <c r="G35" s="76"/>
      <c r="H35" s="76"/>
      <c r="I35" s="76"/>
      <c r="J35" s="76"/>
      <c r="K35" s="67">
        <f t="shared" si="0"/>
        <v>0</v>
      </c>
      <c r="L35" s="77" t="e">
        <f t="shared" si="1"/>
        <v>#DIV/0!</v>
      </c>
      <c r="M35" s="78">
        <f t="shared" si="2"/>
        <v>0</v>
      </c>
      <c r="N35" s="75"/>
      <c r="O35" s="68" t="str">
        <f t="shared" si="3"/>
        <v/>
      </c>
      <c r="P35" s="78" t="str">
        <f t="shared" si="4"/>
        <v xml:space="preserve"> </v>
      </c>
      <c r="Q35" s="75"/>
      <c r="R35" s="77" t="str">
        <f t="shared" si="5"/>
        <v/>
      </c>
      <c r="S35" s="78" t="str">
        <f t="shared" si="6"/>
        <v xml:space="preserve"> </v>
      </c>
      <c r="T35" s="71" t="str">
        <f t="shared" si="7"/>
        <v/>
      </c>
      <c r="U35" s="72" t="str">
        <f t="shared" si="8"/>
        <v/>
      </c>
      <c r="V35" s="73" t="str">
        <f t="shared" si="9"/>
        <v>P</v>
      </c>
      <c r="W35" s="81"/>
      <c r="X35" s="25"/>
      <c r="Y35" s="25"/>
      <c r="Z35" s="25"/>
      <c r="AA35" s="25"/>
    </row>
    <row r="36" spans="1:27" ht="15.75" customHeight="1">
      <c r="A36" s="64">
        <f>prelim!A36</f>
        <v>0</v>
      </c>
      <c r="B36" s="22">
        <f>prelim!B36</f>
        <v>0</v>
      </c>
      <c r="C36" s="74"/>
      <c r="D36" s="75"/>
      <c r="E36" s="75"/>
      <c r="F36" s="76"/>
      <c r="G36" s="76"/>
      <c r="H36" s="76"/>
      <c r="I36" s="76"/>
      <c r="J36" s="76"/>
      <c r="K36" s="67">
        <f t="shared" si="0"/>
        <v>0</v>
      </c>
      <c r="L36" s="77" t="e">
        <f t="shared" si="1"/>
        <v>#DIV/0!</v>
      </c>
      <c r="M36" s="78">
        <f t="shared" si="2"/>
        <v>0</v>
      </c>
      <c r="N36" s="75"/>
      <c r="O36" s="68" t="str">
        <f t="shared" si="3"/>
        <v/>
      </c>
      <c r="P36" s="78" t="str">
        <f t="shared" si="4"/>
        <v xml:space="preserve"> </v>
      </c>
      <c r="Q36" s="75"/>
      <c r="R36" s="77" t="str">
        <f t="shared" si="5"/>
        <v/>
      </c>
      <c r="S36" s="78" t="str">
        <f t="shared" si="6"/>
        <v xml:space="preserve"> </v>
      </c>
      <c r="T36" s="71" t="str">
        <f t="shared" si="7"/>
        <v/>
      </c>
      <c r="U36" s="72" t="str">
        <f t="shared" si="8"/>
        <v/>
      </c>
      <c r="V36" s="73" t="str">
        <f t="shared" si="9"/>
        <v>P</v>
      </c>
      <c r="W36" s="81"/>
      <c r="X36" s="25"/>
      <c r="Y36" s="25"/>
      <c r="Z36" s="25"/>
      <c r="AA36" s="25"/>
    </row>
    <row r="37" spans="1:27" ht="15.75" customHeight="1">
      <c r="A37" s="64">
        <f>prelim!A37</f>
        <v>0</v>
      </c>
      <c r="B37" s="22">
        <f>prelim!B37</f>
        <v>0</v>
      </c>
      <c r="C37" s="74"/>
      <c r="D37" s="75"/>
      <c r="E37" s="75"/>
      <c r="F37" s="76"/>
      <c r="G37" s="76"/>
      <c r="H37" s="76"/>
      <c r="I37" s="76"/>
      <c r="J37" s="76"/>
      <c r="K37" s="67">
        <f t="shared" si="0"/>
        <v>0</v>
      </c>
      <c r="L37" s="77" t="e">
        <f t="shared" si="1"/>
        <v>#DIV/0!</v>
      </c>
      <c r="M37" s="78">
        <f t="shared" si="2"/>
        <v>0</v>
      </c>
      <c r="N37" s="75"/>
      <c r="O37" s="68" t="str">
        <f t="shared" si="3"/>
        <v/>
      </c>
      <c r="P37" s="78" t="str">
        <f t="shared" si="4"/>
        <v xml:space="preserve"> </v>
      </c>
      <c r="Q37" s="75"/>
      <c r="R37" s="77" t="str">
        <f t="shared" si="5"/>
        <v/>
      </c>
      <c r="S37" s="78" t="str">
        <f t="shared" si="6"/>
        <v xml:space="preserve"> </v>
      </c>
      <c r="T37" s="71" t="str">
        <f t="shared" si="7"/>
        <v/>
      </c>
      <c r="U37" s="72" t="str">
        <f t="shared" si="8"/>
        <v/>
      </c>
      <c r="V37" s="73" t="str">
        <f t="shared" si="9"/>
        <v>P</v>
      </c>
      <c r="W37" s="81"/>
      <c r="X37" s="25"/>
      <c r="Y37" s="25"/>
      <c r="Z37" s="25"/>
      <c r="AA37" s="25"/>
    </row>
    <row r="38" spans="1:27" ht="15.75" customHeight="1">
      <c r="A38" s="64">
        <f>prelim!A38</f>
        <v>0</v>
      </c>
      <c r="B38" s="22">
        <f>prelim!B38</f>
        <v>0</v>
      </c>
      <c r="C38" s="74"/>
      <c r="D38" s="75"/>
      <c r="E38" s="75"/>
      <c r="F38" s="76"/>
      <c r="G38" s="76"/>
      <c r="H38" s="76"/>
      <c r="I38" s="76"/>
      <c r="J38" s="76"/>
      <c r="K38" s="67">
        <f t="shared" si="0"/>
        <v>0</v>
      </c>
      <c r="L38" s="77" t="e">
        <f t="shared" si="1"/>
        <v>#DIV/0!</v>
      </c>
      <c r="M38" s="78">
        <f t="shared" si="2"/>
        <v>0</v>
      </c>
      <c r="N38" s="75"/>
      <c r="O38" s="68" t="str">
        <f t="shared" si="3"/>
        <v/>
      </c>
      <c r="P38" s="78" t="str">
        <f t="shared" si="4"/>
        <v xml:space="preserve"> </v>
      </c>
      <c r="Q38" s="75"/>
      <c r="R38" s="77" t="str">
        <f t="shared" si="5"/>
        <v/>
      </c>
      <c r="S38" s="78" t="str">
        <f t="shared" si="6"/>
        <v xml:space="preserve"> </v>
      </c>
      <c r="T38" s="71" t="str">
        <f t="shared" si="7"/>
        <v/>
      </c>
      <c r="U38" s="72" t="str">
        <f t="shared" si="8"/>
        <v/>
      </c>
      <c r="V38" s="73" t="str">
        <f t="shared" si="9"/>
        <v>P</v>
      </c>
      <c r="W38" s="81"/>
      <c r="X38" s="25"/>
      <c r="Y38" s="25"/>
      <c r="Z38" s="25"/>
      <c r="AA38" s="25"/>
    </row>
    <row r="39" spans="1:27" ht="15.75" customHeight="1">
      <c r="A39" s="64">
        <f>prelim!A39</f>
        <v>0</v>
      </c>
      <c r="B39" s="22">
        <f>prelim!B39</f>
        <v>0</v>
      </c>
      <c r="C39" s="74"/>
      <c r="D39" s="75"/>
      <c r="E39" s="75"/>
      <c r="F39" s="76"/>
      <c r="G39" s="76"/>
      <c r="H39" s="76"/>
      <c r="I39" s="76"/>
      <c r="J39" s="76"/>
      <c r="K39" s="67">
        <f t="shared" si="0"/>
        <v>0</v>
      </c>
      <c r="L39" s="77" t="e">
        <f t="shared" si="1"/>
        <v>#DIV/0!</v>
      </c>
      <c r="M39" s="78">
        <f t="shared" si="2"/>
        <v>0</v>
      </c>
      <c r="N39" s="75"/>
      <c r="O39" s="68" t="str">
        <f t="shared" si="3"/>
        <v/>
      </c>
      <c r="P39" s="78" t="str">
        <f t="shared" si="4"/>
        <v xml:space="preserve"> </v>
      </c>
      <c r="Q39" s="75"/>
      <c r="R39" s="77" t="str">
        <f t="shared" si="5"/>
        <v/>
      </c>
      <c r="S39" s="78" t="str">
        <f t="shared" si="6"/>
        <v xml:space="preserve"> </v>
      </c>
      <c r="T39" s="71" t="str">
        <f t="shared" si="7"/>
        <v/>
      </c>
      <c r="U39" s="72" t="str">
        <f t="shared" si="8"/>
        <v/>
      </c>
      <c r="V39" s="73" t="str">
        <f t="shared" si="9"/>
        <v>P</v>
      </c>
      <c r="W39" s="81"/>
      <c r="X39" s="25"/>
      <c r="Y39" s="25"/>
      <c r="Z39" s="25"/>
      <c r="AA39" s="25"/>
    </row>
    <row r="40" spans="1:27" ht="15.75" customHeight="1">
      <c r="A40" s="64">
        <f>prelim!A40</f>
        <v>0</v>
      </c>
      <c r="B40" s="22">
        <f>prelim!B40</f>
        <v>0</v>
      </c>
      <c r="C40" s="74"/>
      <c r="D40" s="75"/>
      <c r="E40" s="75"/>
      <c r="F40" s="76"/>
      <c r="G40" s="76"/>
      <c r="H40" s="76"/>
      <c r="I40" s="76"/>
      <c r="J40" s="76"/>
      <c r="K40" s="67">
        <f t="shared" si="0"/>
        <v>0</v>
      </c>
      <c r="L40" s="77" t="e">
        <f t="shared" si="1"/>
        <v>#DIV/0!</v>
      </c>
      <c r="M40" s="78">
        <f t="shared" si="2"/>
        <v>0</v>
      </c>
      <c r="N40" s="75"/>
      <c r="O40" s="68" t="str">
        <f t="shared" si="3"/>
        <v/>
      </c>
      <c r="P40" s="78" t="str">
        <f t="shared" si="4"/>
        <v xml:space="preserve"> </v>
      </c>
      <c r="Q40" s="75"/>
      <c r="R40" s="77" t="str">
        <f t="shared" si="5"/>
        <v/>
      </c>
      <c r="S40" s="78" t="str">
        <f t="shared" si="6"/>
        <v xml:space="preserve"> </v>
      </c>
      <c r="T40" s="71" t="str">
        <f t="shared" si="7"/>
        <v/>
      </c>
      <c r="U40" s="72" t="str">
        <f t="shared" si="8"/>
        <v/>
      </c>
      <c r="V40" s="73" t="str">
        <f t="shared" si="9"/>
        <v>P</v>
      </c>
      <c r="W40" s="81"/>
      <c r="X40" s="25"/>
      <c r="Y40" s="25"/>
      <c r="Z40" s="25"/>
      <c r="AA40" s="25"/>
    </row>
    <row r="41" spans="1:27" ht="15.75" customHeight="1">
      <c r="A41" s="64">
        <f>prelim!A41</f>
        <v>0</v>
      </c>
      <c r="B41" s="22">
        <f>prelim!B41</f>
        <v>0</v>
      </c>
      <c r="C41" s="74"/>
      <c r="D41" s="75"/>
      <c r="E41" s="75"/>
      <c r="F41" s="76"/>
      <c r="G41" s="76"/>
      <c r="H41" s="76"/>
      <c r="I41" s="76"/>
      <c r="J41" s="76"/>
      <c r="K41" s="67">
        <f t="shared" si="0"/>
        <v>0</v>
      </c>
      <c r="L41" s="77" t="e">
        <f t="shared" si="1"/>
        <v>#DIV/0!</v>
      </c>
      <c r="M41" s="78">
        <f t="shared" si="2"/>
        <v>0</v>
      </c>
      <c r="N41" s="75"/>
      <c r="O41" s="68" t="str">
        <f t="shared" si="3"/>
        <v/>
      </c>
      <c r="P41" s="78" t="str">
        <f t="shared" si="4"/>
        <v xml:space="preserve"> </v>
      </c>
      <c r="Q41" s="75"/>
      <c r="R41" s="77" t="str">
        <f t="shared" si="5"/>
        <v/>
      </c>
      <c r="S41" s="78" t="str">
        <f t="shared" si="6"/>
        <v xml:space="preserve"> </v>
      </c>
      <c r="T41" s="71" t="str">
        <f t="shared" si="7"/>
        <v/>
      </c>
      <c r="U41" s="72" t="str">
        <f t="shared" si="8"/>
        <v/>
      </c>
      <c r="V41" s="73" t="str">
        <f t="shared" si="9"/>
        <v>P</v>
      </c>
      <c r="W41" s="81"/>
      <c r="X41" s="25"/>
      <c r="Y41" s="25"/>
      <c r="Z41" s="25"/>
      <c r="AA41" s="25"/>
    </row>
    <row r="42" spans="1:27" ht="15.75" customHeight="1">
      <c r="A42" s="64">
        <f>prelim!A42</f>
        <v>0</v>
      </c>
      <c r="B42" s="22">
        <f>prelim!B42</f>
        <v>0</v>
      </c>
      <c r="C42" s="74"/>
      <c r="D42" s="75"/>
      <c r="E42" s="75"/>
      <c r="F42" s="76"/>
      <c r="G42" s="76"/>
      <c r="H42" s="76"/>
      <c r="I42" s="76"/>
      <c r="J42" s="76"/>
      <c r="K42" s="67">
        <f t="shared" si="0"/>
        <v>0</v>
      </c>
      <c r="L42" s="77" t="e">
        <f t="shared" si="1"/>
        <v>#DIV/0!</v>
      </c>
      <c r="M42" s="78">
        <f t="shared" si="2"/>
        <v>0</v>
      </c>
      <c r="N42" s="75"/>
      <c r="O42" s="68" t="str">
        <f t="shared" si="3"/>
        <v/>
      </c>
      <c r="P42" s="78" t="str">
        <f t="shared" si="4"/>
        <v xml:space="preserve"> </v>
      </c>
      <c r="Q42" s="75"/>
      <c r="R42" s="77" t="str">
        <f t="shared" si="5"/>
        <v/>
      </c>
      <c r="S42" s="78" t="str">
        <f t="shared" si="6"/>
        <v xml:space="preserve"> </v>
      </c>
      <c r="T42" s="71" t="str">
        <f t="shared" si="7"/>
        <v/>
      </c>
      <c r="U42" s="72" t="str">
        <f t="shared" si="8"/>
        <v/>
      </c>
      <c r="V42" s="73" t="str">
        <f t="shared" si="9"/>
        <v>P</v>
      </c>
      <c r="W42" s="81"/>
      <c r="X42" s="25"/>
      <c r="Y42" s="25"/>
      <c r="Z42" s="25"/>
      <c r="AA42" s="25"/>
    </row>
    <row r="43" spans="1:27" ht="15.75" customHeight="1">
      <c r="A43" s="64">
        <f>prelim!A43</f>
        <v>0</v>
      </c>
      <c r="B43" s="22">
        <f>prelim!B43</f>
        <v>0</v>
      </c>
      <c r="C43" s="74"/>
      <c r="D43" s="75"/>
      <c r="E43" s="75"/>
      <c r="F43" s="76"/>
      <c r="G43" s="76"/>
      <c r="H43" s="76"/>
      <c r="I43" s="76"/>
      <c r="J43" s="76"/>
      <c r="K43" s="67">
        <f t="shared" si="0"/>
        <v>0</v>
      </c>
      <c r="L43" s="77" t="e">
        <f t="shared" si="1"/>
        <v>#DIV/0!</v>
      </c>
      <c r="M43" s="78">
        <f t="shared" si="2"/>
        <v>0</v>
      </c>
      <c r="N43" s="75"/>
      <c r="O43" s="68" t="str">
        <f t="shared" si="3"/>
        <v/>
      </c>
      <c r="P43" s="78" t="str">
        <f t="shared" si="4"/>
        <v xml:space="preserve"> </v>
      </c>
      <c r="Q43" s="75"/>
      <c r="R43" s="77" t="str">
        <f t="shared" si="5"/>
        <v/>
      </c>
      <c r="S43" s="78" t="str">
        <f t="shared" si="6"/>
        <v xml:space="preserve"> </v>
      </c>
      <c r="T43" s="71" t="str">
        <f t="shared" si="7"/>
        <v/>
      </c>
      <c r="U43" s="72" t="str">
        <f t="shared" si="8"/>
        <v/>
      </c>
      <c r="V43" s="73" t="str">
        <f t="shared" si="9"/>
        <v>P</v>
      </c>
      <c r="W43" s="81"/>
      <c r="X43" s="25"/>
      <c r="Y43" s="25"/>
      <c r="Z43" s="25"/>
      <c r="AA43" s="25"/>
    </row>
    <row r="44" spans="1:27" s="50" customFormat="1" ht="15.75" customHeight="1">
      <c r="A44" s="64">
        <f>prelim!A44</f>
        <v>0</v>
      </c>
      <c r="B44" s="22">
        <f>prelim!B44</f>
        <v>0</v>
      </c>
      <c r="C44" s="74"/>
      <c r="D44" s="75"/>
      <c r="E44" s="75"/>
      <c r="F44" s="76"/>
      <c r="G44" s="76"/>
      <c r="H44" s="76"/>
      <c r="I44" s="76"/>
      <c r="J44" s="76"/>
      <c r="K44" s="67">
        <f t="shared" si="0"/>
        <v>0</v>
      </c>
      <c r="L44" s="77" t="e">
        <f t="shared" si="1"/>
        <v>#DIV/0!</v>
      </c>
      <c r="M44" s="78">
        <f t="shared" si="2"/>
        <v>0</v>
      </c>
      <c r="N44" s="75"/>
      <c r="O44" s="68" t="str">
        <f t="shared" si="3"/>
        <v/>
      </c>
      <c r="P44" s="78" t="str">
        <f t="shared" si="4"/>
        <v xml:space="preserve"> </v>
      </c>
      <c r="Q44" s="75"/>
      <c r="R44" s="77" t="str">
        <f t="shared" si="5"/>
        <v/>
      </c>
      <c r="S44" s="78" t="str">
        <f t="shared" si="6"/>
        <v xml:space="preserve"> </v>
      </c>
      <c r="T44" s="71" t="str">
        <f t="shared" si="7"/>
        <v/>
      </c>
      <c r="U44" s="72" t="str">
        <f t="shared" si="8"/>
        <v/>
      </c>
      <c r="V44" s="73" t="str">
        <f t="shared" si="9"/>
        <v>P</v>
      </c>
      <c r="W44" s="81"/>
      <c r="X44" s="45"/>
      <c r="Y44" s="45"/>
      <c r="Z44" s="45"/>
      <c r="AA44" s="45"/>
    </row>
    <row r="45" spans="1:27" ht="15.75" customHeight="1">
      <c r="A45" s="64">
        <f>prelim!A45</f>
        <v>0</v>
      </c>
      <c r="B45" s="22">
        <f>prelim!B45</f>
        <v>0</v>
      </c>
      <c r="C45" s="74"/>
      <c r="D45" s="75"/>
      <c r="E45" s="75"/>
      <c r="F45" s="76"/>
      <c r="G45" s="76"/>
      <c r="H45" s="76"/>
      <c r="I45" s="76"/>
      <c r="J45" s="76"/>
      <c r="K45" s="67">
        <f t="shared" si="0"/>
        <v>0</v>
      </c>
      <c r="L45" s="77" t="e">
        <f t="shared" si="1"/>
        <v>#DIV/0!</v>
      </c>
      <c r="M45" s="78">
        <f t="shared" si="2"/>
        <v>0</v>
      </c>
      <c r="N45" s="75"/>
      <c r="O45" s="68" t="str">
        <f t="shared" si="3"/>
        <v/>
      </c>
      <c r="P45" s="78" t="str">
        <f t="shared" si="4"/>
        <v xml:space="preserve"> </v>
      </c>
      <c r="Q45" s="75"/>
      <c r="R45" s="77" t="str">
        <f t="shared" si="5"/>
        <v/>
      </c>
      <c r="S45" s="78" t="str">
        <f t="shared" si="6"/>
        <v xml:space="preserve"> </v>
      </c>
      <c r="T45" s="71" t="str">
        <f t="shared" si="7"/>
        <v/>
      </c>
      <c r="U45" s="72" t="str">
        <f t="shared" si="8"/>
        <v/>
      </c>
      <c r="V45" s="73" t="str">
        <f t="shared" si="9"/>
        <v>P</v>
      </c>
      <c r="W45" s="81"/>
      <c r="X45" s="25"/>
      <c r="Y45" s="25"/>
      <c r="Z45" s="25"/>
      <c r="AA45" s="25"/>
    </row>
    <row r="46" spans="1:27" ht="15.75" customHeight="1">
      <c r="A46" s="64">
        <f>prelim!A46</f>
        <v>0</v>
      </c>
      <c r="B46" s="22">
        <f>prelim!B46</f>
        <v>0</v>
      </c>
      <c r="C46" s="74"/>
      <c r="D46" s="75"/>
      <c r="E46" s="75"/>
      <c r="F46" s="76"/>
      <c r="G46" s="76"/>
      <c r="H46" s="76"/>
      <c r="I46" s="76"/>
      <c r="J46" s="76"/>
      <c r="K46" s="67">
        <f t="shared" si="0"/>
        <v>0</v>
      </c>
      <c r="L46" s="77" t="e">
        <f t="shared" si="1"/>
        <v>#DIV/0!</v>
      </c>
      <c r="M46" s="78">
        <f t="shared" si="2"/>
        <v>0</v>
      </c>
      <c r="N46" s="75"/>
      <c r="O46" s="68" t="str">
        <f t="shared" si="3"/>
        <v/>
      </c>
      <c r="P46" s="78" t="str">
        <f t="shared" si="4"/>
        <v xml:space="preserve"> </v>
      </c>
      <c r="Q46" s="75"/>
      <c r="R46" s="77" t="str">
        <f t="shared" si="5"/>
        <v/>
      </c>
      <c r="S46" s="78" t="str">
        <f t="shared" si="6"/>
        <v xml:space="preserve"> </v>
      </c>
      <c r="T46" s="71" t="str">
        <f t="shared" si="7"/>
        <v/>
      </c>
      <c r="U46" s="72" t="str">
        <f t="shared" si="8"/>
        <v/>
      </c>
      <c r="V46" s="73" t="str">
        <f t="shared" si="9"/>
        <v>P</v>
      </c>
      <c r="W46" s="81"/>
      <c r="X46" s="25"/>
      <c r="Y46" s="25"/>
      <c r="Z46" s="25"/>
      <c r="AA46" s="25"/>
    </row>
    <row r="47" spans="1:27" ht="15.75" customHeight="1">
      <c r="A47" s="64">
        <f>prelim!A47</f>
        <v>0</v>
      </c>
      <c r="B47" s="22">
        <f>prelim!B47</f>
        <v>0</v>
      </c>
      <c r="C47" s="74"/>
      <c r="D47" s="75"/>
      <c r="E47" s="75"/>
      <c r="F47" s="76"/>
      <c r="G47" s="76"/>
      <c r="H47" s="76"/>
      <c r="I47" s="76"/>
      <c r="J47" s="76"/>
      <c r="K47" s="67">
        <f t="shared" si="0"/>
        <v>0</v>
      </c>
      <c r="L47" s="77" t="e">
        <f t="shared" si="1"/>
        <v>#DIV/0!</v>
      </c>
      <c r="M47" s="78">
        <f t="shared" si="2"/>
        <v>0</v>
      </c>
      <c r="N47" s="75"/>
      <c r="O47" s="68" t="str">
        <f t="shared" si="3"/>
        <v/>
      </c>
      <c r="P47" s="78" t="str">
        <f t="shared" si="4"/>
        <v xml:space="preserve"> </v>
      </c>
      <c r="Q47" s="75"/>
      <c r="R47" s="77" t="str">
        <f t="shared" si="5"/>
        <v/>
      </c>
      <c r="S47" s="78" t="str">
        <f t="shared" si="6"/>
        <v xml:space="preserve"> </v>
      </c>
      <c r="T47" s="71" t="str">
        <f t="shared" si="7"/>
        <v/>
      </c>
      <c r="U47" s="72" t="str">
        <f t="shared" si="8"/>
        <v/>
      </c>
      <c r="V47" s="73" t="str">
        <f t="shared" si="9"/>
        <v>P</v>
      </c>
      <c r="W47" s="81"/>
      <c r="X47" s="25"/>
      <c r="Y47" s="25"/>
      <c r="Z47" s="25"/>
      <c r="AA47" s="25"/>
    </row>
    <row r="48" spans="1:27" ht="15.75" customHeight="1">
      <c r="A48" s="64">
        <f>prelim!A48</f>
        <v>0</v>
      </c>
      <c r="B48" s="22">
        <f>prelim!B48</f>
        <v>0</v>
      </c>
      <c r="C48" s="74"/>
      <c r="D48" s="75"/>
      <c r="E48" s="75"/>
      <c r="F48" s="76"/>
      <c r="G48" s="76"/>
      <c r="H48" s="76"/>
      <c r="I48" s="76"/>
      <c r="J48" s="76"/>
      <c r="K48" s="67">
        <f t="shared" si="0"/>
        <v>0</v>
      </c>
      <c r="L48" s="77" t="e">
        <f t="shared" si="1"/>
        <v>#DIV/0!</v>
      </c>
      <c r="M48" s="78">
        <f t="shared" si="2"/>
        <v>0</v>
      </c>
      <c r="N48" s="75"/>
      <c r="O48" s="68" t="str">
        <f t="shared" si="3"/>
        <v/>
      </c>
      <c r="P48" s="78" t="str">
        <f t="shared" si="4"/>
        <v xml:space="preserve"> </v>
      </c>
      <c r="Q48" s="75"/>
      <c r="R48" s="77" t="str">
        <f t="shared" si="5"/>
        <v/>
      </c>
      <c r="S48" s="78" t="str">
        <f t="shared" si="6"/>
        <v xml:space="preserve"> </v>
      </c>
      <c r="T48" s="71" t="str">
        <f t="shared" si="7"/>
        <v/>
      </c>
      <c r="U48" s="72" t="str">
        <f t="shared" si="8"/>
        <v/>
      </c>
      <c r="V48" s="73" t="str">
        <f t="shared" si="9"/>
        <v>P</v>
      </c>
      <c r="W48" s="81"/>
      <c r="X48" s="25"/>
      <c r="Y48" s="25"/>
      <c r="Z48" s="25"/>
      <c r="AA48" s="25"/>
    </row>
    <row r="49" spans="1:27" ht="15.75" customHeight="1">
      <c r="A49" s="64">
        <f>prelim!A49</f>
        <v>0</v>
      </c>
      <c r="B49" s="22">
        <f>prelim!B49</f>
        <v>0</v>
      </c>
      <c r="C49" s="74"/>
      <c r="D49" s="75"/>
      <c r="E49" s="75"/>
      <c r="F49" s="76"/>
      <c r="G49" s="76"/>
      <c r="H49" s="76"/>
      <c r="I49" s="76"/>
      <c r="J49" s="76"/>
      <c r="K49" s="67">
        <f t="shared" si="0"/>
        <v>0</v>
      </c>
      <c r="L49" s="77" t="e">
        <f t="shared" si="1"/>
        <v>#DIV/0!</v>
      </c>
      <c r="M49" s="78">
        <f t="shared" si="2"/>
        <v>0</v>
      </c>
      <c r="N49" s="75"/>
      <c r="O49" s="68" t="str">
        <f t="shared" si="3"/>
        <v/>
      </c>
      <c r="P49" s="78" t="str">
        <f t="shared" si="4"/>
        <v xml:space="preserve"> </v>
      </c>
      <c r="Q49" s="75"/>
      <c r="R49" s="77" t="str">
        <f t="shared" si="5"/>
        <v/>
      </c>
      <c r="S49" s="78" t="str">
        <f t="shared" si="6"/>
        <v xml:space="preserve"> </v>
      </c>
      <c r="T49" s="71" t="str">
        <f t="shared" si="7"/>
        <v/>
      </c>
      <c r="U49" s="72" t="str">
        <f t="shared" si="8"/>
        <v/>
      </c>
      <c r="V49" s="73" t="str">
        <f t="shared" si="9"/>
        <v>P</v>
      </c>
      <c r="W49" s="81"/>
      <c r="X49" s="25"/>
      <c r="Y49" s="25"/>
      <c r="Z49" s="25"/>
      <c r="AA49" s="25"/>
    </row>
    <row r="50" spans="1:27" ht="15.75" customHeight="1">
      <c r="A50" s="64">
        <f>prelim!A50</f>
        <v>0</v>
      </c>
      <c r="B50" s="22">
        <f>prelim!B50</f>
        <v>0</v>
      </c>
      <c r="C50" s="74"/>
      <c r="D50" s="75"/>
      <c r="E50" s="75"/>
      <c r="F50" s="76"/>
      <c r="G50" s="76"/>
      <c r="H50" s="76"/>
      <c r="I50" s="76"/>
      <c r="J50" s="76"/>
      <c r="K50" s="67">
        <f t="shared" si="0"/>
        <v>0</v>
      </c>
      <c r="L50" s="77" t="e">
        <f t="shared" si="1"/>
        <v>#DIV/0!</v>
      </c>
      <c r="M50" s="78">
        <f t="shared" si="2"/>
        <v>0</v>
      </c>
      <c r="N50" s="75"/>
      <c r="O50" s="68" t="str">
        <f t="shared" si="3"/>
        <v/>
      </c>
      <c r="P50" s="78" t="str">
        <f t="shared" si="4"/>
        <v xml:space="preserve"> </v>
      </c>
      <c r="Q50" s="75"/>
      <c r="R50" s="77" t="str">
        <f t="shared" si="5"/>
        <v/>
      </c>
      <c r="S50" s="78" t="str">
        <f t="shared" si="6"/>
        <v xml:space="preserve"> </v>
      </c>
      <c r="T50" s="71" t="str">
        <f t="shared" si="7"/>
        <v/>
      </c>
      <c r="U50" s="72" t="str">
        <f t="shared" si="8"/>
        <v/>
      </c>
      <c r="V50" s="73" t="str">
        <f t="shared" si="9"/>
        <v>P</v>
      </c>
      <c r="W50" s="81"/>
      <c r="X50" s="25"/>
      <c r="Y50" s="25"/>
      <c r="Z50" s="25"/>
      <c r="AA50" s="25"/>
    </row>
    <row r="51" spans="1:27" ht="15.75" customHeight="1">
      <c r="A51" s="64">
        <f>prelim!A51</f>
        <v>0</v>
      </c>
      <c r="B51" s="22">
        <f>prelim!B51</f>
        <v>0</v>
      </c>
      <c r="C51" s="74"/>
      <c r="D51" s="75"/>
      <c r="E51" s="75"/>
      <c r="F51" s="76"/>
      <c r="G51" s="76"/>
      <c r="H51" s="76"/>
      <c r="I51" s="76"/>
      <c r="J51" s="76"/>
      <c r="K51" s="67">
        <f t="shared" si="0"/>
        <v>0</v>
      </c>
      <c r="L51" s="77" t="e">
        <f t="shared" si="1"/>
        <v>#DIV/0!</v>
      </c>
      <c r="M51" s="78">
        <f t="shared" si="2"/>
        <v>0</v>
      </c>
      <c r="N51" s="75"/>
      <c r="O51" s="68" t="str">
        <f t="shared" si="3"/>
        <v/>
      </c>
      <c r="P51" s="78" t="str">
        <f t="shared" si="4"/>
        <v xml:space="preserve"> </v>
      </c>
      <c r="Q51" s="75"/>
      <c r="R51" s="77" t="str">
        <f t="shared" si="5"/>
        <v/>
      </c>
      <c r="S51" s="78" t="str">
        <f t="shared" si="6"/>
        <v xml:space="preserve"> </v>
      </c>
      <c r="T51" s="71" t="str">
        <f t="shared" si="7"/>
        <v/>
      </c>
      <c r="U51" s="72" t="str">
        <f t="shared" si="8"/>
        <v/>
      </c>
      <c r="V51" s="73" t="str">
        <f t="shared" si="9"/>
        <v>P</v>
      </c>
      <c r="W51" s="81"/>
      <c r="X51" s="25"/>
      <c r="Y51" s="25"/>
      <c r="Z51" s="25"/>
      <c r="AA51" s="25"/>
    </row>
    <row r="52" spans="1:27" ht="15.75" customHeight="1">
      <c r="A52" s="64">
        <f>prelim!A52</f>
        <v>0</v>
      </c>
      <c r="B52" s="22">
        <f>prelim!B52</f>
        <v>0</v>
      </c>
      <c r="C52" s="74"/>
      <c r="D52" s="75"/>
      <c r="E52" s="75"/>
      <c r="F52" s="76"/>
      <c r="G52" s="76"/>
      <c r="H52" s="76"/>
      <c r="I52" s="76"/>
      <c r="J52" s="76"/>
      <c r="K52" s="67">
        <f t="shared" si="0"/>
        <v>0</v>
      </c>
      <c r="L52" s="77" t="e">
        <f t="shared" si="1"/>
        <v>#DIV/0!</v>
      </c>
      <c r="M52" s="78">
        <f t="shared" si="2"/>
        <v>0</v>
      </c>
      <c r="N52" s="75"/>
      <c r="O52" s="68" t="str">
        <f t="shared" si="3"/>
        <v/>
      </c>
      <c r="P52" s="78" t="str">
        <f t="shared" si="4"/>
        <v xml:space="preserve"> </v>
      </c>
      <c r="Q52" s="75"/>
      <c r="R52" s="77" t="str">
        <f t="shared" si="5"/>
        <v/>
      </c>
      <c r="S52" s="78" t="str">
        <f t="shared" si="6"/>
        <v xml:space="preserve"> </v>
      </c>
      <c r="T52" s="71" t="str">
        <f t="shared" si="7"/>
        <v/>
      </c>
      <c r="U52" s="72" t="str">
        <f t="shared" si="8"/>
        <v/>
      </c>
      <c r="V52" s="73" t="str">
        <f t="shared" si="9"/>
        <v>P</v>
      </c>
      <c r="W52" s="81"/>
      <c r="X52" s="25"/>
      <c r="Y52" s="25"/>
      <c r="Z52" s="25"/>
      <c r="AA52" s="25"/>
    </row>
    <row r="53" spans="1:27" ht="15.75" customHeight="1">
      <c r="A53" s="64">
        <f>prelim!A53</f>
        <v>0</v>
      </c>
      <c r="B53" s="22">
        <f>prelim!B53</f>
        <v>0</v>
      </c>
      <c r="C53" s="74"/>
      <c r="D53" s="75"/>
      <c r="E53" s="75"/>
      <c r="F53" s="76"/>
      <c r="G53" s="76"/>
      <c r="H53" s="76"/>
      <c r="I53" s="76"/>
      <c r="J53" s="76"/>
      <c r="K53" s="67">
        <f t="shared" si="0"/>
        <v>0</v>
      </c>
      <c r="L53" s="77" t="e">
        <f t="shared" si="1"/>
        <v>#DIV/0!</v>
      </c>
      <c r="M53" s="78">
        <f t="shared" si="2"/>
        <v>0</v>
      </c>
      <c r="N53" s="75"/>
      <c r="O53" s="68" t="str">
        <f t="shared" si="3"/>
        <v/>
      </c>
      <c r="P53" s="78" t="str">
        <f t="shared" si="4"/>
        <v xml:space="preserve"> </v>
      </c>
      <c r="Q53" s="75"/>
      <c r="R53" s="77" t="str">
        <f t="shared" si="5"/>
        <v/>
      </c>
      <c r="S53" s="78" t="str">
        <f t="shared" si="6"/>
        <v xml:space="preserve"> </v>
      </c>
      <c r="T53" s="71" t="str">
        <f t="shared" si="7"/>
        <v/>
      </c>
      <c r="U53" s="72" t="str">
        <f t="shared" si="8"/>
        <v/>
      </c>
      <c r="V53" s="73" t="str">
        <f t="shared" si="9"/>
        <v>P</v>
      </c>
      <c r="W53" s="81"/>
      <c r="X53" s="25"/>
      <c r="Y53" s="25"/>
      <c r="Z53" s="25"/>
      <c r="AA53" s="25"/>
    </row>
    <row r="54" spans="1:27" ht="15.75" customHeight="1">
      <c r="A54" s="64">
        <f>prelim!A54</f>
        <v>0</v>
      </c>
      <c r="B54" s="22">
        <f>prelim!B54</f>
        <v>0</v>
      </c>
      <c r="C54" s="74"/>
      <c r="D54" s="75"/>
      <c r="E54" s="75"/>
      <c r="F54" s="76"/>
      <c r="G54" s="76"/>
      <c r="H54" s="76"/>
      <c r="I54" s="76"/>
      <c r="J54" s="76"/>
      <c r="K54" s="67">
        <f t="shared" si="0"/>
        <v>0</v>
      </c>
      <c r="L54" s="77" t="e">
        <f t="shared" si="1"/>
        <v>#DIV/0!</v>
      </c>
      <c r="M54" s="78">
        <f t="shared" si="2"/>
        <v>0</v>
      </c>
      <c r="N54" s="75"/>
      <c r="O54" s="68" t="str">
        <f t="shared" si="3"/>
        <v/>
      </c>
      <c r="P54" s="78" t="str">
        <f t="shared" si="4"/>
        <v xml:space="preserve"> </v>
      </c>
      <c r="Q54" s="75"/>
      <c r="R54" s="77" t="str">
        <f t="shared" si="5"/>
        <v/>
      </c>
      <c r="S54" s="78" t="str">
        <f t="shared" si="6"/>
        <v xml:space="preserve"> </v>
      </c>
      <c r="T54" s="71" t="str">
        <f t="shared" si="7"/>
        <v/>
      </c>
      <c r="U54" s="72" t="str">
        <f t="shared" si="8"/>
        <v/>
      </c>
      <c r="V54" s="73" t="str">
        <f t="shared" si="9"/>
        <v>P</v>
      </c>
      <c r="W54" s="81"/>
      <c r="X54" s="25"/>
      <c r="Y54" s="25"/>
      <c r="Z54" s="25"/>
      <c r="AA54" s="25"/>
    </row>
    <row r="55" spans="1:27" ht="15.75" customHeight="1">
      <c r="A55" s="64">
        <f>prelim!A55</f>
        <v>0</v>
      </c>
      <c r="B55" s="22">
        <f>prelim!B55</f>
        <v>0</v>
      </c>
      <c r="C55" s="74"/>
      <c r="D55" s="75"/>
      <c r="E55" s="75"/>
      <c r="F55" s="76"/>
      <c r="G55" s="76"/>
      <c r="H55" s="76"/>
      <c r="I55" s="76"/>
      <c r="J55" s="76"/>
      <c r="K55" s="67">
        <f t="shared" si="0"/>
        <v>0</v>
      </c>
      <c r="L55" s="77" t="e">
        <f t="shared" si="1"/>
        <v>#DIV/0!</v>
      </c>
      <c r="M55" s="78">
        <f t="shared" si="2"/>
        <v>0</v>
      </c>
      <c r="N55" s="75"/>
      <c r="O55" s="68" t="str">
        <f t="shared" si="3"/>
        <v/>
      </c>
      <c r="P55" s="78" t="str">
        <f t="shared" si="4"/>
        <v xml:space="preserve"> </v>
      </c>
      <c r="Q55" s="75"/>
      <c r="R55" s="77" t="str">
        <f t="shared" si="5"/>
        <v/>
      </c>
      <c r="S55" s="78" t="str">
        <f t="shared" si="6"/>
        <v xml:space="preserve"> </v>
      </c>
      <c r="T55" s="71" t="str">
        <f t="shared" si="7"/>
        <v/>
      </c>
      <c r="U55" s="72" t="str">
        <f t="shared" si="8"/>
        <v/>
      </c>
      <c r="V55" s="73" t="str">
        <f t="shared" si="9"/>
        <v>P</v>
      </c>
      <c r="W55" s="25"/>
      <c r="X55" s="25"/>
      <c r="Y55" s="25"/>
      <c r="Z55" s="25"/>
      <c r="AA55" s="25"/>
    </row>
    <row r="56" spans="1:27" ht="15.75" customHeight="1">
      <c r="A56" s="64">
        <f>prelim!A56</f>
        <v>0</v>
      </c>
      <c r="B56" s="22">
        <f>prelim!B56</f>
        <v>0</v>
      </c>
      <c r="C56" s="74"/>
      <c r="D56" s="75"/>
      <c r="E56" s="75"/>
      <c r="F56" s="76"/>
      <c r="G56" s="76"/>
      <c r="H56" s="76"/>
      <c r="I56" s="76"/>
      <c r="J56" s="76"/>
      <c r="K56" s="67">
        <f t="shared" si="0"/>
        <v>0</v>
      </c>
      <c r="L56" s="77" t="e">
        <f t="shared" si="1"/>
        <v>#DIV/0!</v>
      </c>
      <c r="M56" s="78">
        <f t="shared" si="2"/>
        <v>0</v>
      </c>
      <c r="N56" s="75"/>
      <c r="O56" s="68" t="str">
        <f t="shared" si="3"/>
        <v/>
      </c>
      <c r="P56" s="78" t="str">
        <f t="shared" si="4"/>
        <v xml:space="preserve"> </v>
      </c>
      <c r="Q56" s="75"/>
      <c r="R56" s="77" t="str">
        <f t="shared" si="5"/>
        <v/>
      </c>
      <c r="S56" s="78" t="str">
        <f t="shared" si="6"/>
        <v xml:space="preserve"> </v>
      </c>
      <c r="T56" s="71" t="str">
        <f t="shared" si="7"/>
        <v/>
      </c>
      <c r="U56" s="72" t="str">
        <f t="shared" si="8"/>
        <v/>
      </c>
      <c r="V56" s="73" t="str">
        <f t="shared" si="9"/>
        <v>P</v>
      </c>
      <c r="W56" s="25"/>
      <c r="X56" s="25"/>
      <c r="Y56" s="25"/>
      <c r="Z56" s="25"/>
      <c r="AA56" s="25"/>
    </row>
    <row r="57" spans="1:27" ht="15.75" customHeight="1">
      <c r="A57" s="23"/>
      <c r="B57" s="24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33"/>
      <c r="O57" s="23"/>
      <c r="P57" s="23"/>
      <c r="Q57" s="33"/>
      <c r="R57" s="23"/>
      <c r="S57" s="23"/>
      <c r="T57" s="23"/>
      <c r="U57" s="38"/>
      <c r="V57" s="38"/>
      <c r="W57" s="25"/>
      <c r="X57" s="25"/>
      <c r="Y57" s="25"/>
      <c r="Z57" s="25"/>
      <c r="AA57" s="25"/>
    </row>
    <row r="58" spans="1:27" ht="15.75" customHeight="1">
      <c r="A58" s="23"/>
      <c r="B58" s="173" t="s">
        <v>16</v>
      </c>
      <c r="C58" s="119"/>
      <c r="D58" s="119"/>
      <c r="E58" s="119"/>
      <c r="F58" s="119"/>
      <c r="G58" s="119"/>
      <c r="H58" s="119"/>
      <c r="I58" s="119"/>
      <c r="J58" s="119"/>
      <c r="K58" s="173" t="s">
        <v>17</v>
      </c>
      <c r="L58" s="119"/>
      <c r="M58" s="119"/>
      <c r="N58" s="119"/>
      <c r="O58" s="119"/>
      <c r="P58" s="119"/>
      <c r="Q58" s="119"/>
      <c r="R58" s="119"/>
      <c r="S58" s="119"/>
      <c r="T58" s="119"/>
      <c r="U58" s="114"/>
      <c r="V58" s="38"/>
      <c r="W58" s="25"/>
      <c r="X58" s="25"/>
      <c r="Y58" s="25"/>
      <c r="Z58" s="25"/>
      <c r="AA58" s="25"/>
    </row>
    <row r="59" spans="1:27" ht="15.75" customHeight="1">
      <c r="A59" s="23"/>
      <c r="B59" s="162" t="s">
        <v>60</v>
      </c>
      <c r="C59" s="197"/>
      <c r="D59" s="197"/>
      <c r="E59" s="197"/>
      <c r="F59" s="197"/>
      <c r="G59" s="197"/>
      <c r="H59" s="197"/>
      <c r="I59" s="197"/>
      <c r="J59" s="197"/>
      <c r="K59" s="162" t="s">
        <v>59</v>
      </c>
      <c r="L59" s="199"/>
      <c r="M59" s="199"/>
      <c r="N59" s="199"/>
      <c r="O59" s="199"/>
      <c r="P59" s="199"/>
      <c r="Q59" s="199"/>
      <c r="R59" s="199"/>
      <c r="S59" s="199"/>
      <c r="T59" s="199"/>
      <c r="U59" s="200"/>
      <c r="V59" s="38"/>
      <c r="W59" s="25"/>
      <c r="X59" s="25"/>
      <c r="Y59" s="25"/>
      <c r="Z59" s="25"/>
      <c r="AA59" s="25"/>
    </row>
    <row r="60" spans="1:27" ht="15.75" customHeight="1">
      <c r="A60" s="25"/>
      <c r="B60" s="198"/>
      <c r="C60" s="127"/>
      <c r="D60" s="127"/>
      <c r="E60" s="127"/>
      <c r="F60" s="127"/>
      <c r="G60" s="127"/>
      <c r="H60" s="127"/>
      <c r="I60" s="127"/>
      <c r="J60" s="127"/>
      <c r="K60" s="201"/>
      <c r="L60" s="202"/>
      <c r="M60" s="202"/>
      <c r="N60" s="202"/>
      <c r="O60" s="202"/>
      <c r="P60" s="202"/>
      <c r="Q60" s="202"/>
      <c r="R60" s="202"/>
      <c r="S60" s="202"/>
      <c r="T60" s="202"/>
      <c r="U60" s="203"/>
      <c r="V60" s="39"/>
      <c r="W60" s="25"/>
      <c r="X60" s="25"/>
      <c r="Y60" s="25"/>
      <c r="Z60" s="25"/>
      <c r="AA60" s="25"/>
    </row>
    <row r="61" spans="1:27" ht="15.75" customHeight="1">
      <c r="A61" s="25"/>
      <c r="B61" s="174" t="s">
        <v>54</v>
      </c>
      <c r="C61" s="119"/>
      <c r="D61" s="119"/>
      <c r="E61" s="119"/>
      <c r="F61" s="119"/>
      <c r="G61" s="119"/>
      <c r="H61" s="119"/>
      <c r="I61" s="119"/>
      <c r="J61" s="119"/>
      <c r="K61" s="174" t="s">
        <v>58</v>
      </c>
      <c r="L61" s="195"/>
      <c r="M61" s="195"/>
      <c r="N61" s="195"/>
      <c r="O61" s="195"/>
      <c r="P61" s="195"/>
      <c r="Q61" s="195"/>
      <c r="R61" s="195"/>
      <c r="S61" s="195"/>
      <c r="T61" s="195"/>
      <c r="U61" s="196"/>
      <c r="V61" s="39"/>
      <c r="W61" s="25"/>
      <c r="X61" s="25"/>
      <c r="Y61" s="25"/>
      <c r="Z61" s="25"/>
      <c r="AA61" s="25"/>
    </row>
    <row r="62" spans="1:27" ht="15.75" customHeight="1">
      <c r="A62" s="25"/>
      <c r="B62" s="26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34"/>
      <c r="O62" s="25"/>
      <c r="P62" s="25"/>
      <c r="Q62" s="34"/>
      <c r="R62" s="25"/>
      <c r="S62" s="25"/>
      <c r="T62" s="25"/>
      <c r="U62" s="39"/>
      <c r="V62" s="39"/>
      <c r="W62" s="25"/>
      <c r="X62" s="25"/>
      <c r="Y62" s="25"/>
      <c r="Z62" s="25"/>
      <c r="AA62" s="25"/>
    </row>
    <row r="63" spans="1:27" ht="15.75" customHeight="1">
      <c r="A63" s="25"/>
      <c r="B63" s="26" t="s">
        <v>18</v>
      </c>
      <c r="C63" s="27"/>
      <c r="D63" s="28"/>
      <c r="E63" s="28"/>
      <c r="F63" s="25"/>
      <c r="G63" s="25"/>
      <c r="H63" s="25"/>
      <c r="I63" s="25"/>
      <c r="J63" s="25"/>
      <c r="K63" s="25"/>
      <c r="L63" s="25"/>
      <c r="M63" s="25"/>
      <c r="N63" s="208"/>
      <c r="O63" s="127"/>
      <c r="P63" s="127"/>
      <c r="Q63" s="127"/>
      <c r="R63" s="25"/>
      <c r="S63" s="25"/>
      <c r="T63" s="25"/>
      <c r="U63" s="39"/>
      <c r="V63" s="39"/>
      <c r="W63" s="25"/>
      <c r="X63" s="25"/>
      <c r="Y63" s="25"/>
      <c r="Z63" s="25"/>
      <c r="AA63" s="25"/>
    </row>
    <row r="64" spans="1:27" ht="15.75" customHeight="1">
      <c r="A64" s="25"/>
      <c r="B64" s="29"/>
      <c r="C64" s="25" t="s">
        <v>19</v>
      </c>
      <c r="D64" s="28"/>
      <c r="E64" s="28"/>
      <c r="F64" s="25"/>
      <c r="G64" s="25"/>
      <c r="H64" s="25"/>
      <c r="I64" s="25"/>
      <c r="J64" s="25"/>
      <c r="K64" s="25"/>
      <c r="L64" s="25"/>
      <c r="M64" s="25"/>
      <c r="N64" s="209"/>
      <c r="O64" s="127"/>
      <c r="P64" s="127"/>
      <c r="Q64" s="127"/>
      <c r="R64" s="25"/>
      <c r="S64" s="25"/>
      <c r="T64" s="25"/>
      <c r="U64" s="39"/>
      <c r="V64" s="39"/>
      <c r="W64" s="25"/>
      <c r="X64" s="25"/>
      <c r="Y64" s="25"/>
      <c r="Z64" s="25"/>
      <c r="AA64" s="25"/>
    </row>
    <row r="65" spans="1:27" ht="15.75" customHeight="1">
      <c r="A65" s="23"/>
      <c r="B65" s="28"/>
      <c r="C65" s="28"/>
      <c r="D65" s="28"/>
      <c r="E65" s="28"/>
      <c r="F65" s="23"/>
      <c r="G65" s="23"/>
      <c r="H65" s="23"/>
      <c r="I65" s="23"/>
      <c r="J65" s="23"/>
      <c r="K65" s="23"/>
      <c r="L65" s="23"/>
      <c r="M65" s="23"/>
      <c r="N65" s="33"/>
      <c r="O65" s="23"/>
      <c r="P65" s="23"/>
      <c r="Q65" s="33"/>
      <c r="R65" s="23"/>
      <c r="S65" s="23"/>
      <c r="T65" s="23"/>
      <c r="U65" s="38"/>
      <c r="V65" s="38"/>
      <c r="W65" s="25"/>
      <c r="X65" s="25"/>
      <c r="Y65" s="25"/>
      <c r="Z65" s="25"/>
      <c r="AA65" s="25"/>
    </row>
    <row r="66" spans="1:27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34"/>
      <c r="O66" s="25"/>
      <c r="P66" s="25"/>
      <c r="Q66" s="34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spans="1:2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34"/>
      <c r="O67" s="25"/>
      <c r="P67" s="25"/>
      <c r="Q67" s="34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spans="1:27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34"/>
      <c r="O68" s="25"/>
      <c r="P68" s="25"/>
      <c r="Q68" s="34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1:27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34"/>
      <c r="O69" s="25"/>
      <c r="P69" s="25"/>
      <c r="Q69" s="34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34"/>
      <c r="O70" s="25"/>
      <c r="P70" s="25"/>
      <c r="Q70" s="34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34"/>
      <c r="O71" s="25"/>
      <c r="P71" s="25"/>
      <c r="Q71" s="34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34"/>
      <c r="O72" s="25"/>
      <c r="P72" s="25"/>
      <c r="Q72" s="34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34"/>
      <c r="O73" s="25"/>
      <c r="P73" s="25"/>
      <c r="Q73" s="34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34"/>
      <c r="O74" s="25"/>
      <c r="P74" s="25"/>
      <c r="Q74" s="34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34"/>
      <c r="O75" s="25"/>
      <c r="P75" s="25"/>
      <c r="Q75" s="34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34"/>
      <c r="O76" s="25"/>
      <c r="P76" s="25"/>
      <c r="Q76" s="34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34"/>
      <c r="O77" s="25"/>
      <c r="P77" s="25"/>
      <c r="Q77" s="34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34"/>
      <c r="O78" s="25"/>
      <c r="P78" s="25"/>
      <c r="Q78" s="34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34"/>
      <c r="O79" s="25"/>
      <c r="P79" s="25"/>
      <c r="Q79" s="34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34"/>
      <c r="O80" s="25"/>
      <c r="P80" s="25"/>
      <c r="Q80" s="34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34"/>
      <c r="O81" s="25"/>
      <c r="P81" s="25"/>
      <c r="Q81" s="34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34"/>
      <c r="O82" s="25"/>
      <c r="P82" s="25"/>
      <c r="Q82" s="34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34"/>
      <c r="O83" s="25"/>
      <c r="P83" s="25"/>
      <c r="Q83" s="34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34"/>
      <c r="O84" s="25"/>
      <c r="P84" s="25"/>
      <c r="Q84" s="34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34"/>
      <c r="O85" s="25"/>
      <c r="P85" s="25"/>
      <c r="Q85" s="34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34"/>
      <c r="O86" s="25"/>
      <c r="P86" s="25"/>
      <c r="Q86" s="34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34"/>
      <c r="O87" s="25"/>
      <c r="P87" s="25"/>
      <c r="Q87" s="34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34"/>
      <c r="O88" s="25"/>
      <c r="P88" s="25"/>
      <c r="Q88" s="34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34"/>
      <c r="O89" s="25"/>
      <c r="P89" s="25"/>
      <c r="Q89" s="34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34"/>
      <c r="O90" s="25"/>
      <c r="P90" s="25"/>
      <c r="Q90" s="34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34"/>
      <c r="O91" s="25"/>
      <c r="P91" s="25"/>
      <c r="Q91" s="34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34"/>
      <c r="O92" s="25"/>
      <c r="P92" s="25"/>
      <c r="Q92" s="34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34"/>
      <c r="O93" s="25"/>
      <c r="P93" s="25"/>
      <c r="Q93" s="34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34"/>
      <c r="O94" s="25"/>
      <c r="P94" s="25"/>
      <c r="Q94" s="34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34"/>
      <c r="O95" s="25"/>
      <c r="P95" s="25"/>
      <c r="Q95" s="34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34"/>
      <c r="O96" s="25"/>
      <c r="P96" s="25"/>
      <c r="Q96" s="34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34"/>
      <c r="O97" s="25"/>
      <c r="P97" s="25"/>
      <c r="Q97" s="34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34"/>
      <c r="O98" s="25"/>
      <c r="P98" s="25"/>
      <c r="Q98" s="34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34"/>
      <c r="O99" s="25"/>
      <c r="P99" s="25"/>
      <c r="Q99" s="34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34"/>
      <c r="O100" s="25"/>
      <c r="P100" s="25"/>
      <c r="Q100" s="34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34"/>
      <c r="O101" s="25"/>
      <c r="P101" s="25"/>
      <c r="Q101" s="34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34"/>
      <c r="O102" s="25"/>
      <c r="P102" s="25"/>
      <c r="Q102" s="34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34"/>
      <c r="O103" s="25"/>
      <c r="P103" s="25"/>
      <c r="Q103" s="34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34"/>
      <c r="O104" s="25"/>
      <c r="P104" s="25"/>
      <c r="Q104" s="34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34"/>
      <c r="O105" s="25"/>
      <c r="P105" s="25"/>
      <c r="Q105" s="34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34"/>
      <c r="O106" s="25"/>
      <c r="P106" s="25"/>
      <c r="Q106" s="34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spans="1:2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34"/>
      <c r="O107" s="25"/>
      <c r="P107" s="25"/>
      <c r="Q107" s="34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spans="1:27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34"/>
      <c r="O108" s="25"/>
      <c r="P108" s="25"/>
      <c r="Q108" s="34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spans="1:27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34"/>
      <c r="O109" s="25"/>
      <c r="P109" s="25"/>
      <c r="Q109" s="34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spans="1:27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34"/>
      <c r="O110" s="25"/>
      <c r="P110" s="25"/>
      <c r="Q110" s="34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spans="1:27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34"/>
      <c r="O111" s="25"/>
      <c r="P111" s="25"/>
      <c r="Q111" s="34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spans="1:27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34"/>
      <c r="O112" s="25"/>
      <c r="P112" s="25"/>
      <c r="Q112" s="34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spans="1:27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34"/>
      <c r="O113" s="25"/>
      <c r="P113" s="25"/>
      <c r="Q113" s="34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spans="1:27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34"/>
      <c r="O114" s="25"/>
      <c r="P114" s="25"/>
      <c r="Q114" s="34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spans="1:27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34"/>
      <c r="O115" s="25"/>
      <c r="P115" s="25"/>
      <c r="Q115" s="34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spans="1:27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34"/>
      <c r="O116" s="25"/>
      <c r="P116" s="25"/>
      <c r="Q116" s="34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spans="1:2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34"/>
      <c r="O117" s="25"/>
      <c r="P117" s="25"/>
      <c r="Q117" s="34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spans="1:27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34"/>
      <c r="O118" s="25"/>
      <c r="P118" s="25"/>
      <c r="Q118" s="34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spans="1:27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34"/>
      <c r="O119" s="25"/>
      <c r="P119" s="25"/>
      <c r="Q119" s="34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spans="1:27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34"/>
      <c r="O120" s="25"/>
      <c r="P120" s="25"/>
      <c r="Q120" s="34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1:27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34"/>
      <c r="O121" s="25"/>
      <c r="P121" s="25"/>
      <c r="Q121" s="34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1:27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34"/>
      <c r="O122" s="25"/>
      <c r="P122" s="25"/>
      <c r="Q122" s="34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1:27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34"/>
      <c r="O123" s="25"/>
      <c r="P123" s="25"/>
      <c r="Q123" s="34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1:27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34"/>
      <c r="O124" s="25"/>
      <c r="P124" s="25"/>
      <c r="Q124" s="34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7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34"/>
      <c r="O125" s="25"/>
      <c r="P125" s="25"/>
      <c r="Q125" s="34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1:27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34"/>
      <c r="O126" s="25"/>
      <c r="P126" s="25"/>
      <c r="Q126" s="34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34"/>
      <c r="O127" s="25"/>
      <c r="P127" s="25"/>
      <c r="Q127" s="34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7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34"/>
      <c r="O128" s="25"/>
      <c r="P128" s="25"/>
      <c r="Q128" s="34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34"/>
      <c r="O129" s="25"/>
      <c r="P129" s="25"/>
      <c r="Q129" s="34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34"/>
      <c r="O130" s="25"/>
      <c r="P130" s="25"/>
      <c r="Q130" s="34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1:27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34"/>
      <c r="O131" s="25"/>
      <c r="P131" s="25"/>
      <c r="Q131" s="34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34"/>
      <c r="O132" s="25"/>
      <c r="P132" s="25"/>
      <c r="Q132" s="34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34"/>
      <c r="O133" s="25"/>
      <c r="P133" s="25"/>
      <c r="Q133" s="34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34"/>
      <c r="O134" s="25"/>
      <c r="P134" s="25"/>
      <c r="Q134" s="34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34"/>
      <c r="O135" s="25"/>
      <c r="P135" s="25"/>
      <c r="Q135" s="34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34"/>
      <c r="O136" s="25"/>
      <c r="P136" s="25"/>
      <c r="Q136" s="34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34"/>
      <c r="O137" s="25"/>
      <c r="P137" s="25"/>
      <c r="Q137" s="34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34"/>
      <c r="O138" s="25"/>
      <c r="P138" s="25"/>
      <c r="Q138" s="34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34"/>
      <c r="O139" s="25"/>
      <c r="P139" s="25"/>
      <c r="Q139" s="34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1:27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34"/>
      <c r="O140" s="25"/>
      <c r="P140" s="25"/>
      <c r="Q140" s="34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1:27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34"/>
      <c r="O141" s="25"/>
      <c r="P141" s="25"/>
      <c r="Q141" s="34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1:27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34"/>
      <c r="O142" s="25"/>
      <c r="P142" s="25"/>
      <c r="Q142" s="34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1:27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34"/>
      <c r="O143" s="25"/>
      <c r="P143" s="25"/>
      <c r="Q143" s="34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1:27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34"/>
      <c r="O144" s="25"/>
      <c r="P144" s="25"/>
      <c r="Q144" s="34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34"/>
      <c r="O145" s="25"/>
      <c r="P145" s="25"/>
      <c r="Q145" s="34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34"/>
      <c r="O146" s="25"/>
      <c r="P146" s="25"/>
      <c r="Q146" s="34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34"/>
      <c r="O147" s="25"/>
      <c r="P147" s="25"/>
      <c r="Q147" s="34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34"/>
      <c r="O148" s="25"/>
      <c r="P148" s="25"/>
      <c r="Q148" s="34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1:27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34"/>
      <c r="O149" s="25"/>
      <c r="P149" s="25"/>
      <c r="Q149" s="34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1:27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34"/>
      <c r="O150" s="25"/>
      <c r="P150" s="25"/>
      <c r="Q150" s="34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34"/>
      <c r="O151" s="25"/>
      <c r="P151" s="25"/>
      <c r="Q151" s="34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34"/>
      <c r="O152" s="25"/>
      <c r="P152" s="25"/>
      <c r="Q152" s="34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34"/>
      <c r="O153" s="25"/>
      <c r="P153" s="25"/>
      <c r="Q153" s="34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34"/>
      <c r="O154" s="25"/>
      <c r="P154" s="25"/>
      <c r="Q154" s="34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34"/>
      <c r="O155" s="25"/>
      <c r="P155" s="25"/>
      <c r="Q155" s="34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34"/>
      <c r="O156" s="25"/>
      <c r="P156" s="25"/>
      <c r="Q156" s="34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34"/>
      <c r="O157" s="25"/>
      <c r="P157" s="25"/>
      <c r="Q157" s="34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34"/>
      <c r="O158" s="25"/>
      <c r="P158" s="25"/>
      <c r="Q158" s="34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34"/>
      <c r="O159" s="25"/>
      <c r="P159" s="25"/>
      <c r="Q159" s="34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34"/>
      <c r="O160" s="25"/>
      <c r="P160" s="25"/>
      <c r="Q160" s="34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34"/>
      <c r="O161" s="25"/>
      <c r="P161" s="25"/>
      <c r="Q161" s="34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34"/>
      <c r="O162" s="25"/>
      <c r="P162" s="25"/>
      <c r="Q162" s="34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34"/>
      <c r="O163" s="25"/>
      <c r="P163" s="25"/>
      <c r="Q163" s="34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34"/>
      <c r="O164" s="25"/>
      <c r="P164" s="25"/>
      <c r="Q164" s="34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34"/>
      <c r="O165" s="25"/>
      <c r="P165" s="25"/>
      <c r="Q165" s="34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34"/>
      <c r="O166" s="25"/>
      <c r="P166" s="25"/>
      <c r="Q166" s="34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34"/>
      <c r="O167" s="25"/>
      <c r="P167" s="25"/>
      <c r="Q167" s="34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34"/>
      <c r="O168" s="25"/>
      <c r="P168" s="25"/>
      <c r="Q168" s="34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34"/>
      <c r="O169" s="25"/>
      <c r="P169" s="25"/>
      <c r="Q169" s="34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34"/>
      <c r="O170" s="25"/>
      <c r="P170" s="25"/>
      <c r="Q170" s="34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34"/>
      <c r="O171" s="25"/>
      <c r="P171" s="25"/>
      <c r="Q171" s="34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34"/>
      <c r="O172" s="25"/>
      <c r="P172" s="25"/>
      <c r="Q172" s="34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34"/>
      <c r="O173" s="25"/>
      <c r="P173" s="25"/>
      <c r="Q173" s="34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34"/>
      <c r="O174" s="25"/>
      <c r="P174" s="25"/>
      <c r="Q174" s="34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34"/>
      <c r="O175" s="25"/>
      <c r="P175" s="25"/>
      <c r="Q175" s="34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34"/>
      <c r="O176" s="25"/>
      <c r="P176" s="25"/>
      <c r="Q176" s="34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34"/>
      <c r="O177" s="25"/>
      <c r="P177" s="25"/>
      <c r="Q177" s="34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34"/>
      <c r="O178" s="25"/>
      <c r="P178" s="25"/>
      <c r="Q178" s="34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34"/>
      <c r="O179" s="25"/>
      <c r="P179" s="25"/>
      <c r="Q179" s="34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34"/>
      <c r="O180" s="25"/>
      <c r="P180" s="25"/>
      <c r="Q180" s="34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34"/>
      <c r="O181" s="25"/>
      <c r="P181" s="25"/>
      <c r="Q181" s="34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1:27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34"/>
      <c r="O182" s="25"/>
      <c r="P182" s="25"/>
      <c r="Q182" s="34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1:27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34"/>
      <c r="O183" s="25"/>
      <c r="P183" s="25"/>
      <c r="Q183" s="34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1:27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34"/>
      <c r="O184" s="25"/>
      <c r="P184" s="25"/>
      <c r="Q184" s="34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1:27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34"/>
      <c r="O185" s="25"/>
      <c r="P185" s="25"/>
      <c r="Q185" s="34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1:27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34"/>
      <c r="O186" s="25"/>
      <c r="P186" s="25"/>
      <c r="Q186" s="34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1:2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34"/>
      <c r="O187" s="25"/>
      <c r="P187" s="25"/>
      <c r="Q187" s="34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1:27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34"/>
      <c r="O188" s="25"/>
      <c r="P188" s="25"/>
      <c r="Q188" s="34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34"/>
      <c r="O189" s="25"/>
      <c r="P189" s="25"/>
      <c r="Q189" s="34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1:27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34"/>
      <c r="O190" s="25"/>
      <c r="P190" s="25"/>
      <c r="Q190" s="34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1:27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34"/>
      <c r="O191" s="25"/>
      <c r="P191" s="25"/>
      <c r="Q191" s="34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1:27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34"/>
      <c r="O192" s="25"/>
      <c r="P192" s="25"/>
      <c r="Q192" s="34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1:27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34"/>
      <c r="O193" s="25"/>
      <c r="P193" s="25"/>
      <c r="Q193" s="34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1:27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34"/>
      <c r="O194" s="25"/>
      <c r="P194" s="25"/>
      <c r="Q194" s="34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1:27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34"/>
      <c r="O195" s="25"/>
      <c r="P195" s="25"/>
      <c r="Q195" s="34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1:27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34"/>
      <c r="O196" s="25"/>
      <c r="P196" s="25"/>
      <c r="Q196" s="34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1:2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34"/>
      <c r="O197" s="25"/>
      <c r="P197" s="25"/>
      <c r="Q197" s="34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1:27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34"/>
      <c r="O198" s="25"/>
      <c r="P198" s="25"/>
      <c r="Q198" s="34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1:27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34"/>
      <c r="O199" s="25"/>
      <c r="P199" s="25"/>
      <c r="Q199" s="34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1:27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34"/>
      <c r="O200" s="25"/>
      <c r="P200" s="25"/>
      <c r="Q200" s="34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1:27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34"/>
      <c r="O201" s="25"/>
      <c r="P201" s="25"/>
      <c r="Q201" s="34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1:27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34"/>
      <c r="O202" s="25"/>
      <c r="P202" s="25"/>
      <c r="Q202" s="34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1:27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34"/>
      <c r="O203" s="25"/>
      <c r="P203" s="25"/>
      <c r="Q203" s="34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1:27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34"/>
      <c r="O204" s="25"/>
      <c r="P204" s="25"/>
      <c r="Q204" s="34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1:27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34"/>
      <c r="O205" s="25"/>
      <c r="P205" s="25"/>
      <c r="Q205" s="34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1:27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34"/>
      <c r="O206" s="25"/>
      <c r="P206" s="25"/>
      <c r="Q206" s="34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1:2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34"/>
      <c r="O207" s="25"/>
      <c r="P207" s="25"/>
      <c r="Q207" s="34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1:27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34"/>
      <c r="O208" s="25"/>
      <c r="P208" s="25"/>
      <c r="Q208" s="34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1:27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34"/>
      <c r="O209" s="25"/>
      <c r="P209" s="25"/>
      <c r="Q209" s="34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1:27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34"/>
      <c r="O210" s="25"/>
      <c r="P210" s="25"/>
      <c r="Q210" s="34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1:27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34"/>
      <c r="O211" s="25"/>
      <c r="P211" s="25"/>
      <c r="Q211" s="34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34"/>
      <c r="O212" s="25"/>
      <c r="P212" s="25"/>
      <c r="Q212" s="34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34"/>
      <c r="O213" s="25"/>
      <c r="P213" s="25"/>
      <c r="Q213" s="34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34"/>
      <c r="O214" s="25"/>
      <c r="P214" s="25"/>
      <c r="Q214" s="34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34"/>
      <c r="O215" s="25"/>
      <c r="P215" s="25"/>
      <c r="Q215" s="34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34"/>
      <c r="O216" s="25"/>
      <c r="P216" s="25"/>
      <c r="Q216" s="34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34"/>
      <c r="O217" s="25"/>
      <c r="P217" s="25"/>
      <c r="Q217" s="34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34"/>
      <c r="O218" s="25"/>
      <c r="P218" s="25"/>
      <c r="Q218" s="34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34"/>
      <c r="O219" s="25"/>
      <c r="P219" s="25"/>
      <c r="Q219" s="34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34"/>
      <c r="O220" s="25"/>
      <c r="P220" s="25"/>
      <c r="Q220" s="34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34"/>
      <c r="O221" s="25"/>
      <c r="P221" s="25"/>
      <c r="Q221" s="34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spans="1:27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34"/>
      <c r="O222" s="25"/>
      <c r="P222" s="25"/>
      <c r="Q222" s="34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1:27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34"/>
      <c r="O223" s="25"/>
      <c r="P223" s="25"/>
      <c r="Q223" s="34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spans="1:27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34"/>
      <c r="O224" s="25"/>
      <c r="P224" s="25"/>
      <c r="Q224" s="34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spans="1:27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34"/>
      <c r="O225" s="25"/>
      <c r="P225" s="25"/>
      <c r="Q225" s="34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spans="1:27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34"/>
      <c r="O226" s="25"/>
      <c r="P226" s="25"/>
      <c r="Q226" s="34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spans="1: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34"/>
      <c r="O227" s="25"/>
      <c r="P227" s="25"/>
      <c r="Q227" s="34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spans="1:27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34"/>
      <c r="O228" s="25"/>
      <c r="P228" s="25"/>
      <c r="Q228" s="34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spans="1:27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34"/>
      <c r="O229" s="25"/>
      <c r="P229" s="25"/>
      <c r="Q229" s="34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spans="1:27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34"/>
      <c r="O230" s="25"/>
      <c r="P230" s="25"/>
      <c r="Q230" s="34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spans="1:27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34"/>
      <c r="O231" s="25"/>
      <c r="P231" s="25"/>
      <c r="Q231" s="34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spans="1:27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34"/>
      <c r="O232" s="25"/>
      <c r="P232" s="25"/>
      <c r="Q232" s="34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spans="1:27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34"/>
      <c r="O233" s="25"/>
      <c r="P233" s="25"/>
      <c r="Q233" s="34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1:27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34"/>
      <c r="O234" s="25"/>
      <c r="P234" s="25"/>
      <c r="Q234" s="34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spans="1:27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34"/>
      <c r="O235" s="25"/>
      <c r="P235" s="25"/>
      <c r="Q235" s="34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1:27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34"/>
      <c r="O236" s="25"/>
      <c r="P236" s="25"/>
      <c r="Q236" s="34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spans="1:2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34"/>
      <c r="O237" s="25"/>
      <c r="P237" s="25"/>
      <c r="Q237" s="34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spans="1:27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34"/>
      <c r="O238" s="25"/>
      <c r="P238" s="25"/>
      <c r="Q238" s="34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spans="1:27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34"/>
      <c r="O239" s="25"/>
      <c r="P239" s="25"/>
      <c r="Q239" s="34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spans="1:27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34"/>
      <c r="O240" s="25"/>
      <c r="P240" s="25"/>
      <c r="Q240" s="34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spans="1:27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34"/>
      <c r="O241" s="25"/>
      <c r="P241" s="25"/>
      <c r="Q241" s="34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spans="1:27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34"/>
      <c r="O242" s="25"/>
      <c r="P242" s="25"/>
      <c r="Q242" s="34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spans="1:27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34"/>
      <c r="O243" s="25"/>
      <c r="P243" s="25"/>
      <c r="Q243" s="34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spans="1:27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34"/>
      <c r="O244" s="25"/>
      <c r="P244" s="25"/>
      <c r="Q244" s="34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spans="1:27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34"/>
      <c r="O245" s="25"/>
      <c r="P245" s="25"/>
      <c r="Q245" s="34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spans="1:27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34"/>
      <c r="O246" s="25"/>
      <c r="P246" s="25"/>
      <c r="Q246" s="34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spans="1:2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34"/>
      <c r="O247" s="25"/>
      <c r="P247" s="25"/>
      <c r="Q247" s="34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spans="1:27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34"/>
      <c r="O248" s="25"/>
      <c r="P248" s="25"/>
      <c r="Q248" s="34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spans="1:27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34"/>
      <c r="O249" s="25"/>
      <c r="P249" s="25"/>
      <c r="Q249" s="34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spans="1:27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34"/>
      <c r="O250" s="25"/>
      <c r="P250" s="25"/>
      <c r="Q250" s="34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spans="1:27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34"/>
      <c r="O251" s="25"/>
      <c r="P251" s="25"/>
      <c r="Q251" s="34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spans="1:27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34"/>
      <c r="O252" s="25"/>
      <c r="P252" s="25"/>
      <c r="Q252" s="34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spans="1:27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34"/>
      <c r="O253" s="25"/>
      <c r="P253" s="25"/>
      <c r="Q253" s="34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spans="1:27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34"/>
      <c r="O254" s="25"/>
      <c r="P254" s="25"/>
      <c r="Q254" s="34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spans="1:27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34"/>
      <c r="O255" s="25"/>
      <c r="P255" s="25"/>
      <c r="Q255" s="34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spans="1:27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34"/>
      <c r="O256" s="25"/>
      <c r="P256" s="25"/>
      <c r="Q256" s="34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spans="1:2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34"/>
      <c r="O257" s="25"/>
      <c r="P257" s="25"/>
      <c r="Q257" s="34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spans="1:27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34"/>
      <c r="O258" s="25"/>
      <c r="P258" s="25"/>
      <c r="Q258" s="34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spans="1:27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34"/>
      <c r="O259" s="25"/>
      <c r="P259" s="25"/>
      <c r="Q259" s="34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spans="1:27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34"/>
      <c r="O260" s="25"/>
      <c r="P260" s="25"/>
      <c r="Q260" s="34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spans="1:27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34"/>
      <c r="O261" s="25"/>
      <c r="P261" s="25"/>
      <c r="Q261" s="34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spans="1:27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34"/>
      <c r="O262" s="25"/>
      <c r="P262" s="25"/>
      <c r="Q262" s="34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spans="1:27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34"/>
      <c r="O263" s="25"/>
      <c r="P263" s="25"/>
      <c r="Q263" s="34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1:27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34"/>
      <c r="O264" s="25"/>
      <c r="P264" s="25"/>
      <c r="Q264" s="34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spans="1:27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34"/>
      <c r="O265" s="25"/>
      <c r="P265" s="25"/>
      <c r="Q265" s="34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spans="1:27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34"/>
      <c r="O266" s="25"/>
      <c r="P266" s="25"/>
      <c r="Q266" s="34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spans="1:2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34"/>
      <c r="O267" s="25"/>
      <c r="P267" s="25"/>
      <c r="Q267" s="34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spans="1:27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34"/>
      <c r="O268" s="25"/>
      <c r="P268" s="25"/>
      <c r="Q268" s="34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spans="1:27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34"/>
      <c r="O269" s="25"/>
      <c r="P269" s="25"/>
      <c r="Q269" s="34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spans="1:27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34"/>
      <c r="O270" s="25"/>
      <c r="P270" s="25"/>
      <c r="Q270" s="34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spans="1:27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34"/>
      <c r="O271" s="25"/>
      <c r="P271" s="25"/>
      <c r="Q271" s="34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spans="1:27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34"/>
      <c r="O272" s="25"/>
      <c r="P272" s="25"/>
      <c r="Q272" s="34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spans="1:27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34"/>
      <c r="O273" s="25"/>
      <c r="P273" s="25"/>
      <c r="Q273" s="34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spans="1:27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34"/>
      <c r="O274" s="25"/>
      <c r="P274" s="25"/>
      <c r="Q274" s="34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spans="1:27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34"/>
      <c r="O275" s="25"/>
      <c r="P275" s="25"/>
      <c r="Q275" s="34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spans="1:27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34"/>
      <c r="O276" s="25"/>
      <c r="P276" s="25"/>
      <c r="Q276" s="34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spans="1:2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34"/>
      <c r="O277" s="25"/>
      <c r="P277" s="25"/>
      <c r="Q277" s="34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spans="1:27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34"/>
      <c r="O278" s="25"/>
      <c r="P278" s="25"/>
      <c r="Q278" s="34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spans="1:27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34"/>
      <c r="O279" s="25"/>
      <c r="P279" s="25"/>
      <c r="Q279" s="34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spans="1:27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34"/>
      <c r="O280" s="25"/>
      <c r="P280" s="25"/>
      <c r="Q280" s="34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spans="1:27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34"/>
      <c r="O281" s="25"/>
      <c r="P281" s="25"/>
      <c r="Q281" s="34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spans="1:27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34"/>
      <c r="O282" s="25"/>
      <c r="P282" s="25"/>
      <c r="Q282" s="34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spans="1:27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34"/>
      <c r="O283" s="25"/>
      <c r="P283" s="25"/>
      <c r="Q283" s="34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spans="1:27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34"/>
      <c r="O284" s="25"/>
      <c r="P284" s="25"/>
      <c r="Q284" s="34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spans="1:27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34"/>
      <c r="O285" s="25"/>
      <c r="P285" s="25"/>
      <c r="Q285" s="34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spans="1:27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34"/>
      <c r="O286" s="25"/>
      <c r="P286" s="25"/>
      <c r="Q286" s="34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spans="1:2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34"/>
      <c r="O287" s="25"/>
      <c r="P287" s="25"/>
      <c r="Q287" s="34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spans="1:27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34"/>
      <c r="O288" s="25"/>
      <c r="P288" s="25"/>
      <c r="Q288" s="34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spans="1:27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34"/>
      <c r="O289" s="25"/>
      <c r="P289" s="25"/>
      <c r="Q289" s="34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spans="1:27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34"/>
      <c r="O290" s="25"/>
      <c r="P290" s="25"/>
      <c r="Q290" s="34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spans="1:27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34"/>
      <c r="O291" s="25"/>
      <c r="P291" s="25"/>
      <c r="Q291" s="34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spans="1:27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34"/>
      <c r="O292" s="25"/>
      <c r="P292" s="25"/>
      <c r="Q292" s="34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spans="1:27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34"/>
      <c r="O293" s="25"/>
      <c r="P293" s="25"/>
      <c r="Q293" s="34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spans="1:27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34"/>
      <c r="O294" s="25"/>
      <c r="P294" s="25"/>
      <c r="Q294" s="34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spans="1:27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34"/>
      <c r="O295" s="25"/>
      <c r="P295" s="25"/>
      <c r="Q295" s="34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spans="1:27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34"/>
      <c r="O296" s="25"/>
      <c r="P296" s="25"/>
      <c r="Q296" s="34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spans="1:2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34"/>
      <c r="O297" s="25"/>
      <c r="P297" s="25"/>
      <c r="Q297" s="34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spans="1:27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34"/>
      <c r="O298" s="25"/>
      <c r="P298" s="25"/>
      <c r="Q298" s="34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spans="1:27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34"/>
      <c r="O299" s="25"/>
      <c r="P299" s="25"/>
      <c r="Q299" s="34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spans="1:27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34"/>
      <c r="O300" s="25"/>
      <c r="P300" s="25"/>
      <c r="Q300" s="34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spans="1:27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34"/>
      <c r="O301" s="25"/>
      <c r="P301" s="25"/>
      <c r="Q301" s="34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spans="1:27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34"/>
      <c r="O302" s="25"/>
      <c r="P302" s="25"/>
      <c r="Q302" s="34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spans="1:27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34"/>
      <c r="O303" s="25"/>
      <c r="P303" s="25"/>
      <c r="Q303" s="34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spans="1:27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34"/>
      <c r="O304" s="25"/>
      <c r="P304" s="25"/>
      <c r="Q304" s="34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spans="1:27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34"/>
      <c r="O305" s="25"/>
      <c r="P305" s="25"/>
      <c r="Q305" s="34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1:27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34"/>
      <c r="O306" s="25"/>
      <c r="P306" s="25"/>
      <c r="Q306" s="34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spans="1:2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34"/>
      <c r="O307" s="25"/>
      <c r="P307" s="25"/>
      <c r="Q307" s="34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spans="1:27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34"/>
      <c r="O308" s="25"/>
      <c r="P308" s="25"/>
      <c r="Q308" s="34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spans="1:27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34"/>
      <c r="O309" s="25"/>
      <c r="P309" s="25"/>
      <c r="Q309" s="34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spans="1:27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34"/>
      <c r="O310" s="25"/>
      <c r="P310" s="25"/>
      <c r="Q310" s="34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spans="1:27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34"/>
      <c r="O311" s="25"/>
      <c r="P311" s="25"/>
      <c r="Q311" s="34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spans="1:27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34"/>
      <c r="O312" s="25"/>
      <c r="P312" s="25"/>
      <c r="Q312" s="34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spans="1:27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34"/>
      <c r="O313" s="25"/>
      <c r="P313" s="25"/>
      <c r="Q313" s="34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spans="1:27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34"/>
      <c r="O314" s="25"/>
      <c r="P314" s="25"/>
      <c r="Q314" s="34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spans="1:27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34"/>
      <c r="O315" s="25"/>
      <c r="P315" s="25"/>
      <c r="Q315" s="34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spans="1:27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34"/>
      <c r="O316" s="25"/>
      <c r="P316" s="25"/>
      <c r="Q316" s="34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spans="1:2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34"/>
      <c r="O317" s="25"/>
      <c r="P317" s="25"/>
      <c r="Q317" s="34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spans="1:27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34"/>
      <c r="O318" s="25"/>
      <c r="P318" s="25"/>
      <c r="Q318" s="34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spans="1:27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34"/>
      <c r="O319" s="25"/>
      <c r="P319" s="25"/>
      <c r="Q319" s="34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spans="1:27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34"/>
      <c r="O320" s="25"/>
      <c r="P320" s="25"/>
      <c r="Q320" s="34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spans="1:27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34"/>
      <c r="O321" s="25"/>
      <c r="P321" s="25"/>
      <c r="Q321" s="34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spans="1:27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34"/>
      <c r="O322" s="25"/>
      <c r="P322" s="25"/>
      <c r="Q322" s="34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spans="1:27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34"/>
      <c r="O323" s="25"/>
      <c r="P323" s="25"/>
      <c r="Q323" s="34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spans="1:27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34"/>
      <c r="O324" s="25"/>
      <c r="P324" s="25"/>
      <c r="Q324" s="34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spans="1:27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34"/>
      <c r="O325" s="25"/>
      <c r="P325" s="25"/>
      <c r="Q325" s="34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spans="1:27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34"/>
      <c r="O326" s="25"/>
      <c r="P326" s="25"/>
      <c r="Q326" s="34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spans="1: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34"/>
      <c r="O327" s="25"/>
      <c r="P327" s="25"/>
      <c r="Q327" s="34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spans="1:27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34"/>
      <c r="O328" s="25"/>
      <c r="P328" s="25"/>
      <c r="Q328" s="34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spans="1:27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34"/>
      <c r="O329" s="25"/>
      <c r="P329" s="25"/>
      <c r="Q329" s="34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spans="1:27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34"/>
      <c r="O330" s="25"/>
      <c r="P330" s="25"/>
      <c r="Q330" s="34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spans="1:27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34"/>
      <c r="O331" s="25"/>
      <c r="P331" s="25"/>
      <c r="Q331" s="34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spans="1:27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34"/>
      <c r="O332" s="25"/>
      <c r="P332" s="25"/>
      <c r="Q332" s="34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spans="1:27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34"/>
      <c r="O333" s="25"/>
      <c r="P333" s="25"/>
      <c r="Q333" s="34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spans="1:27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34"/>
      <c r="O334" s="25"/>
      <c r="P334" s="25"/>
      <c r="Q334" s="34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spans="1:27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34"/>
      <c r="O335" s="25"/>
      <c r="P335" s="25"/>
      <c r="Q335" s="34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spans="1:27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34"/>
      <c r="O336" s="25"/>
      <c r="P336" s="25"/>
      <c r="Q336" s="34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spans="1:2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34"/>
      <c r="O337" s="25"/>
      <c r="P337" s="25"/>
      <c r="Q337" s="34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spans="1:27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34"/>
      <c r="O338" s="25"/>
      <c r="P338" s="25"/>
      <c r="Q338" s="34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spans="1:27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34"/>
      <c r="O339" s="25"/>
      <c r="P339" s="25"/>
      <c r="Q339" s="34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spans="1:27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34"/>
      <c r="O340" s="25"/>
      <c r="P340" s="25"/>
      <c r="Q340" s="34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spans="1:27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34"/>
      <c r="O341" s="25"/>
      <c r="P341" s="25"/>
      <c r="Q341" s="34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spans="1:27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34"/>
      <c r="O342" s="25"/>
      <c r="P342" s="25"/>
      <c r="Q342" s="34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spans="1:27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34"/>
      <c r="O343" s="25"/>
      <c r="P343" s="25"/>
      <c r="Q343" s="34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spans="1:27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34"/>
      <c r="O344" s="25"/>
      <c r="P344" s="25"/>
      <c r="Q344" s="34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spans="1:27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34"/>
      <c r="O345" s="25"/>
      <c r="P345" s="25"/>
      <c r="Q345" s="34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spans="1:27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34"/>
      <c r="O346" s="25"/>
      <c r="P346" s="25"/>
      <c r="Q346" s="34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spans="1:2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34"/>
      <c r="O347" s="25"/>
      <c r="P347" s="25"/>
      <c r="Q347" s="34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spans="1:27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34"/>
      <c r="O348" s="25"/>
      <c r="P348" s="25"/>
      <c r="Q348" s="34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spans="1:27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34"/>
      <c r="O349" s="25"/>
      <c r="P349" s="25"/>
      <c r="Q349" s="34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spans="1:27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34"/>
      <c r="O350" s="25"/>
      <c r="P350" s="25"/>
      <c r="Q350" s="34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spans="1:27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34"/>
      <c r="O351" s="25"/>
      <c r="P351" s="25"/>
      <c r="Q351" s="34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spans="1:27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34"/>
      <c r="O352" s="25"/>
      <c r="P352" s="25"/>
      <c r="Q352" s="34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spans="1:27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34"/>
      <c r="O353" s="25"/>
      <c r="P353" s="25"/>
      <c r="Q353" s="34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spans="1:27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34"/>
      <c r="O354" s="25"/>
      <c r="P354" s="25"/>
      <c r="Q354" s="34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spans="1:27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34"/>
      <c r="O355" s="25"/>
      <c r="P355" s="25"/>
      <c r="Q355" s="34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spans="1:27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34"/>
      <c r="O356" s="25"/>
      <c r="P356" s="25"/>
      <c r="Q356" s="34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spans="1:2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34"/>
      <c r="O357" s="25"/>
      <c r="P357" s="25"/>
      <c r="Q357" s="34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spans="1:27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34"/>
      <c r="O358" s="25"/>
      <c r="P358" s="25"/>
      <c r="Q358" s="34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spans="1:27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34"/>
      <c r="O359" s="25"/>
      <c r="P359" s="25"/>
      <c r="Q359" s="34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spans="1:27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34"/>
      <c r="O360" s="25"/>
      <c r="P360" s="25"/>
      <c r="Q360" s="34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spans="1:27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34"/>
      <c r="O361" s="25"/>
      <c r="P361" s="25"/>
      <c r="Q361" s="34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spans="1:27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34"/>
      <c r="O362" s="25"/>
      <c r="P362" s="25"/>
      <c r="Q362" s="34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spans="1:27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34"/>
      <c r="O363" s="25"/>
      <c r="P363" s="25"/>
      <c r="Q363" s="34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spans="1:27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34"/>
      <c r="O364" s="25"/>
      <c r="P364" s="25"/>
      <c r="Q364" s="34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spans="1:27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34"/>
      <c r="O365" s="25"/>
      <c r="P365" s="25"/>
      <c r="Q365" s="34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spans="1:27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34"/>
      <c r="O366" s="25"/>
      <c r="P366" s="25"/>
      <c r="Q366" s="34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spans="1:2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34"/>
      <c r="O367" s="25"/>
      <c r="P367" s="25"/>
      <c r="Q367" s="34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spans="1:27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34"/>
      <c r="O368" s="25"/>
      <c r="P368" s="25"/>
      <c r="Q368" s="34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spans="1:27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34"/>
      <c r="O369" s="25"/>
      <c r="P369" s="25"/>
      <c r="Q369" s="34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spans="1:27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34"/>
      <c r="O370" s="25"/>
      <c r="P370" s="25"/>
      <c r="Q370" s="34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spans="1:27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34"/>
      <c r="O371" s="25"/>
      <c r="P371" s="25"/>
      <c r="Q371" s="34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spans="1:27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34"/>
      <c r="O372" s="25"/>
      <c r="P372" s="25"/>
      <c r="Q372" s="34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spans="1:27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34"/>
      <c r="O373" s="25"/>
      <c r="P373" s="25"/>
      <c r="Q373" s="34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spans="1:27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34"/>
      <c r="O374" s="25"/>
      <c r="P374" s="25"/>
      <c r="Q374" s="34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spans="1:27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34"/>
      <c r="O375" s="25"/>
      <c r="P375" s="25"/>
      <c r="Q375" s="34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spans="1:27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34"/>
      <c r="O376" s="25"/>
      <c r="P376" s="25"/>
      <c r="Q376" s="34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spans="1:2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34"/>
      <c r="O377" s="25"/>
      <c r="P377" s="25"/>
      <c r="Q377" s="34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spans="1:27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34"/>
      <c r="O378" s="25"/>
      <c r="P378" s="25"/>
      <c r="Q378" s="34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spans="1:27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34"/>
      <c r="O379" s="25"/>
      <c r="P379" s="25"/>
      <c r="Q379" s="34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spans="1:27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34"/>
      <c r="O380" s="25"/>
      <c r="P380" s="25"/>
      <c r="Q380" s="34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spans="1:27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34"/>
      <c r="O381" s="25"/>
      <c r="P381" s="25"/>
      <c r="Q381" s="34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spans="1:27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34"/>
      <c r="O382" s="25"/>
      <c r="P382" s="25"/>
      <c r="Q382" s="34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spans="1:27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34"/>
      <c r="O383" s="25"/>
      <c r="P383" s="25"/>
      <c r="Q383" s="34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spans="1:27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34"/>
      <c r="O384" s="25"/>
      <c r="P384" s="25"/>
      <c r="Q384" s="34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spans="1:27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34"/>
      <c r="O385" s="25"/>
      <c r="P385" s="25"/>
      <c r="Q385" s="34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spans="1:27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34"/>
      <c r="O386" s="25"/>
      <c r="P386" s="25"/>
      <c r="Q386" s="34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spans="1:2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34"/>
      <c r="O387" s="25"/>
      <c r="P387" s="25"/>
      <c r="Q387" s="34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spans="1:27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34"/>
      <c r="O388" s="25"/>
      <c r="P388" s="25"/>
      <c r="Q388" s="34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spans="1:27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34"/>
      <c r="O389" s="25"/>
      <c r="P389" s="25"/>
      <c r="Q389" s="34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spans="1:27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34"/>
      <c r="O390" s="25"/>
      <c r="P390" s="25"/>
      <c r="Q390" s="34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spans="1:27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34"/>
      <c r="O391" s="25"/>
      <c r="P391" s="25"/>
      <c r="Q391" s="34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spans="1:27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34"/>
      <c r="O392" s="25"/>
      <c r="P392" s="25"/>
      <c r="Q392" s="34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spans="1:27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34"/>
      <c r="O393" s="25"/>
      <c r="P393" s="25"/>
      <c r="Q393" s="34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spans="1:27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34"/>
      <c r="O394" s="25"/>
      <c r="P394" s="25"/>
      <c r="Q394" s="34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spans="1:27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34"/>
      <c r="O395" s="25"/>
      <c r="P395" s="25"/>
      <c r="Q395" s="34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spans="1:27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34"/>
      <c r="O396" s="25"/>
      <c r="P396" s="25"/>
      <c r="Q396" s="34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spans="1:2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34"/>
      <c r="O397" s="25"/>
      <c r="P397" s="25"/>
      <c r="Q397" s="34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spans="1:27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34"/>
      <c r="O398" s="25"/>
      <c r="P398" s="25"/>
      <c r="Q398" s="34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spans="1:27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34"/>
      <c r="O399" s="25"/>
      <c r="P399" s="25"/>
      <c r="Q399" s="34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spans="1:27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34"/>
      <c r="O400" s="25"/>
      <c r="P400" s="25"/>
      <c r="Q400" s="34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spans="1:27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34"/>
      <c r="O401" s="25"/>
      <c r="P401" s="25"/>
      <c r="Q401" s="34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spans="1:27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34"/>
      <c r="O402" s="25"/>
      <c r="P402" s="25"/>
      <c r="Q402" s="34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spans="1:27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34"/>
      <c r="O403" s="25"/>
      <c r="P403" s="25"/>
      <c r="Q403" s="34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spans="1:27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34"/>
      <c r="O404" s="25"/>
      <c r="P404" s="25"/>
      <c r="Q404" s="34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spans="1:27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34"/>
      <c r="O405" s="25"/>
      <c r="P405" s="25"/>
      <c r="Q405" s="34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spans="1:27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34"/>
      <c r="O406" s="25"/>
      <c r="P406" s="25"/>
      <c r="Q406" s="34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spans="1:2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34"/>
      <c r="O407" s="25"/>
      <c r="P407" s="25"/>
      <c r="Q407" s="34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spans="1:27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34"/>
      <c r="O408" s="25"/>
      <c r="P408" s="25"/>
      <c r="Q408" s="34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spans="1:27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34"/>
      <c r="O409" s="25"/>
      <c r="P409" s="25"/>
      <c r="Q409" s="34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spans="1:27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34"/>
      <c r="O410" s="25"/>
      <c r="P410" s="25"/>
      <c r="Q410" s="34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spans="1:27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34"/>
      <c r="O411" s="25"/>
      <c r="P411" s="25"/>
      <c r="Q411" s="34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spans="1:27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34"/>
      <c r="O412" s="25"/>
      <c r="P412" s="25"/>
      <c r="Q412" s="34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spans="1:27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34"/>
      <c r="O413" s="25"/>
      <c r="P413" s="25"/>
      <c r="Q413" s="34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spans="1:27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34"/>
      <c r="O414" s="25"/>
      <c r="P414" s="25"/>
      <c r="Q414" s="34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spans="1:27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34"/>
      <c r="O415" s="25"/>
      <c r="P415" s="25"/>
      <c r="Q415" s="34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spans="1:27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34"/>
      <c r="O416" s="25"/>
      <c r="P416" s="25"/>
      <c r="Q416" s="34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spans="1:2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34"/>
      <c r="O417" s="25"/>
      <c r="P417" s="25"/>
      <c r="Q417" s="34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spans="1:27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34"/>
      <c r="O418" s="25"/>
      <c r="P418" s="25"/>
      <c r="Q418" s="34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spans="1:27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34"/>
      <c r="O419" s="25"/>
      <c r="P419" s="25"/>
      <c r="Q419" s="34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spans="1:27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34"/>
      <c r="O420" s="25"/>
      <c r="P420" s="25"/>
      <c r="Q420" s="34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spans="1:27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34"/>
      <c r="O421" s="25"/>
      <c r="P421" s="25"/>
      <c r="Q421" s="34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spans="1:27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34"/>
      <c r="O422" s="25"/>
      <c r="P422" s="25"/>
      <c r="Q422" s="34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spans="1:27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34"/>
      <c r="O423" s="25"/>
      <c r="P423" s="25"/>
      <c r="Q423" s="34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spans="1:27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34"/>
      <c r="O424" s="25"/>
      <c r="P424" s="25"/>
      <c r="Q424" s="34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spans="1:27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34"/>
      <c r="O425" s="25"/>
      <c r="P425" s="25"/>
      <c r="Q425" s="34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spans="1:27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34"/>
      <c r="O426" s="25"/>
      <c r="P426" s="25"/>
      <c r="Q426" s="34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spans="1: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34"/>
      <c r="O427" s="25"/>
      <c r="P427" s="25"/>
      <c r="Q427" s="34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spans="1:27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34"/>
      <c r="O428" s="25"/>
      <c r="P428" s="25"/>
      <c r="Q428" s="34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spans="1:27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34"/>
      <c r="O429" s="25"/>
      <c r="P429" s="25"/>
      <c r="Q429" s="34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spans="1:27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34"/>
      <c r="O430" s="25"/>
      <c r="P430" s="25"/>
      <c r="Q430" s="34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spans="1:27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34"/>
      <c r="O431" s="25"/>
      <c r="P431" s="25"/>
      <c r="Q431" s="34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spans="1:27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34"/>
      <c r="O432" s="25"/>
      <c r="P432" s="25"/>
      <c r="Q432" s="34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spans="1:27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34"/>
      <c r="O433" s="25"/>
      <c r="P433" s="25"/>
      <c r="Q433" s="34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spans="1:27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34"/>
      <c r="O434" s="25"/>
      <c r="P434" s="25"/>
      <c r="Q434" s="34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spans="1:27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34"/>
      <c r="O435" s="25"/>
      <c r="P435" s="25"/>
      <c r="Q435" s="34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spans="1:27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34"/>
      <c r="O436" s="25"/>
      <c r="P436" s="25"/>
      <c r="Q436" s="34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spans="1:2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34"/>
      <c r="O437" s="25"/>
      <c r="P437" s="25"/>
      <c r="Q437" s="34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spans="1:27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34"/>
      <c r="O438" s="25"/>
      <c r="P438" s="25"/>
      <c r="Q438" s="34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spans="1:27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34"/>
      <c r="O439" s="25"/>
      <c r="P439" s="25"/>
      <c r="Q439" s="34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spans="1:27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34"/>
      <c r="O440" s="25"/>
      <c r="P440" s="25"/>
      <c r="Q440" s="34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spans="1:27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34"/>
      <c r="O441" s="25"/>
      <c r="P441" s="25"/>
      <c r="Q441" s="34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spans="1:27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34"/>
      <c r="O442" s="25"/>
      <c r="P442" s="25"/>
      <c r="Q442" s="34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spans="1:27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34"/>
      <c r="O443" s="25"/>
      <c r="P443" s="25"/>
      <c r="Q443" s="34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spans="1:27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34"/>
      <c r="O444" s="25"/>
      <c r="P444" s="25"/>
      <c r="Q444" s="34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spans="1:27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34"/>
      <c r="O445" s="25"/>
      <c r="P445" s="25"/>
      <c r="Q445" s="34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spans="1:27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34"/>
      <c r="O446" s="25"/>
      <c r="P446" s="25"/>
      <c r="Q446" s="34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spans="1:2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34"/>
      <c r="O447" s="25"/>
      <c r="P447" s="25"/>
      <c r="Q447" s="34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spans="1:27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34"/>
      <c r="O448" s="25"/>
      <c r="P448" s="25"/>
      <c r="Q448" s="34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spans="1:27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34"/>
      <c r="O449" s="25"/>
      <c r="P449" s="25"/>
      <c r="Q449" s="34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spans="1:27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34"/>
      <c r="O450" s="25"/>
      <c r="P450" s="25"/>
      <c r="Q450" s="34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spans="1:27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34"/>
      <c r="O451" s="25"/>
      <c r="P451" s="25"/>
      <c r="Q451" s="34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spans="1:27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34"/>
      <c r="O452" s="25"/>
      <c r="P452" s="25"/>
      <c r="Q452" s="34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spans="1:27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34"/>
      <c r="O453" s="25"/>
      <c r="P453" s="25"/>
      <c r="Q453" s="34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spans="1:27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34"/>
      <c r="O454" s="25"/>
      <c r="P454" s="25"/>
      <c r="Q454" s="34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spans="1:27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34"/>
      <c r="O455" s="25"/>
      <c r="P455" s="25"/>
      <c r="Q455" s="34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spans="1:27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34"/>
      <c r="O456" s="25"/>
      <c r="P456" s="25"/>
      <c r="Q456" s="34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spans="1:2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34"/>
      <c r="O457" s="25"/>
      <c r="P457" s="25"/>
      <c r="Q457" s="34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spans="1:27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34"/>
      <c r="O458" s="25"/>
      <c r="P458" s="25"/>
      <c r="Q458" s="34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spans="1:27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34"/>
      <c r="O459" s="25"/>
      <c r="P459" s="25"/>
      <c r="Q459" s="34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spans="1:27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34"/>
      <c r="O460" s="25"/>
      <c r="P460" s="25"/>
      <c r="Q460" s="34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spans="1:27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34"/>
      <c r="O461" s="25"/>
      <c r="P461" s="25"/>
      <c r="Q461" s="34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spans="1:27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34"/>
      <c r="O462" s="25"/>
      <c r="P462" s="25"/>
      <c r="Q462" s="34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spans="1:27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34"/>
      <c r="O463" s="25"/>
      <c r="P463" s="25"/>
      <c r="Q463" s="34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spans="1:27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34"/>
      <c r="O464" s="25"/>
      <c r="P464" s="25"/>
      <c r="Q464" s="34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spans="1:27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34"/>
      <c r="O465" s="25"/>
      <c r="P465" s="25"/>
      <c r="Q465" s="34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spans="1:27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34"/>
      <c r="O466" s="25"/>
      <c r="P466" s="25"/>
      <c r="Q466" s="34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spans="1:2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34"/>
      <c r="O467" s="25"/>
      <c r="P467" s="25"/>
      <c r="Q467" s="34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spans="1:27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34"/>
      <c r="O468" s="25"/>
      <c r="P468" s="25"/>
      <c r="Q468" s="34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spans="1:27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34"/>
      <c r="O469" s="25"/>
      <c r="P469" s="25"/>
      <c r="Q469" s="34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spans="1:27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34"/>
      <c r="O470" s="25"/>
      <c r="P470" s="25"/>
      <c r="Q470" s="34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spans="1:27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34"/>
      <c r="O471" s="25"/>
      <c r="P471" s="25"/>
      <c r="Q471" s="34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spans="1:27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34"/>
      <c r="O472" s="25"/>
      <c r="P472" s="25"/>
      <c r="Q472" s="34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spans="1:27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34"/>
      <c r="O473" s="25"/>
      <c r="P473" s="25"/>
      <c r="Q473" s="34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spans="1:27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34"/>
      <c r="O474" s="25"/>
      <c r="P474" s="25"/>
      <c r="Q474" s="34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spans="1:27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34"/>
      <c r="O475" s="25"/>
      <c r="P475" s="25"/>
      <c r="Q475" s="34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spans="1:27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34"/>
      <c r="O476" s="25"/>
      <c r="P476" s="25"/>
      <c r="Q476" s="34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spans="1:2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34"/>
      <c r="O477" s="25"/>
      <c r="P477" s="25"/>
      <c r="Q477" s="34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spans="1:27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34"/>
      <c r="O478" s="25"/>
      <c r="P478" s="25"/>
      <c r="Q478" s="34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spans="1:27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34"/>
      <c r="O479" s="25"/>
      <c r="P479" s="25"/>
      <c r="Q479" s="34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spans="1:27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34"/>
      <c r="O480" s="25"/>
      <c r="P480" s="25"/>
      <c r="Q480" s="34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spans="1:27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34"/>
      <c r="O481" s="25"/>
      <c r="P481" s="25"/>
      <c r="Q481" s="34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spans="1:27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34"/>
      <c r="O482" s="25"/>
      <c r="P482" s="25"/>
      <c r="Q482" s="34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spans="1:27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34"/>
      <c r="O483" s="25"/>
      <c r="P483" s="25"/>
      <c r="Q483" s="34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spans="1:27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34"/>
      <c r="O484" s="25"/>
      <c r="P484" s="25"/>
      <c r="Q484" s="34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spans="1:27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34"/>
      <c r="O485" s="25"/>
      <c r="P485" s="25"/>
      <c r="Q485" s="34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spans="1:27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34"/>
      <c r="O486" s="25"/>
      <c r="P486" s="25"/>
      <c r="Q486" s="34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spans="1:2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34"/>
      <c r="O487" s="25"/>
      <c r="P487" s="25"/>
      <c r="Q487" s="34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spans="1:27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34"/>
      <c r="O488" s="25"/>
      <c r="P488" s="25"/>
      <c r="Q488" s="34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spans="1:27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34"/>
      <c r="O489" s="25"/>
      <c r="P489" s="25"/>
      <c r="Q489" s="34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spans="1:27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34"/>
      <c r="O490" s="25"/>
      <c r="P490" s="25"/>
      <c r="Q490" s="34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spans="1:27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34"/>
      <c r="O491" s="25"/>
      <c r="P491" s="25"/>
      <c r="Q491" s="34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spans="1:27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34"/>
      <c r="O492" s="25"/>
      <c r="P492" s="25"/>
      <c r="Q492" s="34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spans="1:27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34"/>
      <c r="O493" s="25"/>
      <c r="P493" s="25"/>
      <c r="Q493" s="34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spans="1:27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34"/>
      <c r="O494" s="25"/>
      <c r="P494" s="25"/>
      <c r="Q494" s="34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spans="1:27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34"/>
      <c r="O495" s="25"/>
      <c r="P495" s="25"/>
      <c r="Q495" s="34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spans="1:27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34"/>
      <c r="O496" s="25"/>
      <c r="P496" s="25"/>
      <c r="Q496" s="34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spans="1:2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34"/>
      <c r="O497" s="25"/>
      <c r="P497" s="25"/>
      <c r="Q497" s="34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spans="1:27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34"/>
      <c r="O498" s="25"/>
      <c r="P498" s="25"/>
      <c r="Q498" s="34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spans="1:27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34"/>
      <c r="O499" s="25"/>
      <c r="P499" s="25"/>
      <c r="Q499" s="34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spans="1:27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34"/>
      <c r="O500" s="25"/>
      <c r="P500" s="25"/>
      <c r="Q500" s="34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spans="1:27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34"/>
      <c r="O501" s="25"/>
      <c r="P501" s="25"/>
      <c r="Q501" s="34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spans="1:27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34"/>
      <c r="O502" s="25"/>
      <c r="P502" s="25"/>
      <c r="Q502" s="34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spans="1:27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34"/>
      <c r="O503" s="25"/>
      <c r="P503" s="25"/>
      <c r="Q503" s="34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spans="1:27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34"/>
      <c r="O504" s="25"/>
      <c r="P504" s="25"/>
      <c r="Q504" s="34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spans="1:27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34"/>
      <c r="O505" s="25"/>
      <c r="P505" s="25"/>
      <c r="Q505" s="34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spans="1:27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34"/>
      <c r="O506" s="25"/>
      <c r="P506" s="25"/>
      <c r="Q506" s="34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spans="1:2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34"/>
      <c r="O507" s="25"/>
      <c r="P507" s="25"/>
      <c r="Q507" s="34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spans="1:27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34"/>
      <c r="O508" s="25"/>
      <c r="P508" s="25"/>
      <c r="Q508" s="34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spans="1:27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34"/>
      <c r="O509" s="25"/>
      <c r="P509" s="25"/>
      <c r="Q509" s="34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spans="1:27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34"/>
      <c r="O510" s="25"/>
      <c r="P510" s="25"/>
      <c r="Q510" s="34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spans="1:27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34"/>
      <c r="O511" s="25"/>
      <c r="P511" s="25"/>
      <c r="Q511" s="34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spans="1:27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34"/>
      <c r="O512" s="25"/>
      <c r="P512" s="25"/>
      <c r="Q512" s="34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spans="1:27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34"/>
      <c r="O513" s="25"/>
      <c r="P513" s="25"/>
      <c r="Q513" s="34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spans="1:27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34"/>
      <c r="O514" s="25"/>
      <c r="P514" s="25"/>
      <c r="Q514" s="34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spans="1:27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34"/>
      <c r="O515" s="25"/>
      <c r="P515" s="25"/>
      <c r="Q515" s="34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spans="1:27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34"/>
      <c r="O516" s="25"/>
      <c r="P516" s="25"/>
      <c r="Q516" s="34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spans="1:2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34"/>
      <c r="O517" s="25"/>
      <c r="P517" s="25"/>
      <c r="Q517" s="34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spans="1:27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34"/>
      <c r="O518" s="25"/>
      <c r="P518" s="25"/>
      <c r="Q518" s="34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spans="1:27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34"/>
      <c r="O519" s="25"/>
      <c r="P519" s="25"/>
      <c r="Q519" s="34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spans="1:27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34"/>
      <c r="O520" s="25"/>
      <c r="P520" s="25"/>
      <c r="Q520" s="34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spans="1:27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34"/>
      <c r="O521" s="25"/>
      <c r="P521" s="25"/>
      <c r="Q521" s="34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spans="1:27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34"/>
      <c r="O522" s="25"/>
      <c r="P522" s="25"/>
      <c r="Q522" s="34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spans="1:27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34"/>
      <c r="O523" s="25"/>
      <c r="P523" s="25"/>
      <c r="Q523" s="34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spans="1:27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34"/>
      <c r="O524" s="25"/>
      <c r="P524" s="25"/>
      <c r="Q524" s="34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spans="1:27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34"/>
      <c r="O525" s="25"/>
      <c r="P525" s="25"/>
      <c r="Q525" s="34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spans="1:27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34"/>
      <c r="O526" s="25"/>
      <c r="P526" s="25"/>
      <c r="Q526" s="34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spans="1: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34"/>
      <c r="O527" s="25"/>
      <c r="P527" s="25"/>
      <c r="Q527" s="34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spans="1:27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34"/>
      <c r="O528" s="25"/>
      <c r="P528" s="25"/>
      <c r="Q528" s="34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spans="1:27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34"/>
      <c r="O529" s="25"/>
      <c r="P529" s="25"/>
      <c r="Q529" s="34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spans="1:27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34"/>
      <c r="O530" s="25"/>
      <c r="P530" s="25"/>
      <c r="Q530" s="34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spans="1:27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34"/>
      <c r="O531" s="25"/>
      <c r="P531" s="25"/>
      <c r="Q531" s="34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spans="1:27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34"/>
      <c r="O532" s="25"/>
      <c r="P532" s="25"/>
      <c r="Q532" s="34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spans="1:27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34"/>
      <c r="O533" s="25"/>
      <c r="P533" s="25"/>
      <c r="Q533" s="34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spans="1:27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34"/>
      <c r="O534" s="25"/>
      <c r="P534" s="25"/>
      <c r="Q534" s="34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spans="1:27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34"/>
      <c r="O535" s="25"/>
      <c r="P535" s="25"/>
      <c r="Q535" s="34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spans="1:27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34"/>
      <c r="O536" s="25"/>
      <c r="P536" s="25"/>
      <c r="Q536" s="34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spans="1:2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34"/>
      <c r="O537" s="25"/>
      <c r="P537" s="25"/>
      <c r="Q537" s="34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spans="1:27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34"/>
      <c r="O538" s="25"/>
      <c r="P538" s="25"/>
      <c r="Q538" s="34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spans="1:27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34"/>
      <c r="O539" s="25"/>
      <c r="P539" s="25"/>
      <c r="Q539" s="34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spans="1:27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34"/>
      <c r="O540" s="25"/>
      <c r="P540" s="25"/>
      <c r="Q540" s="34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spans="1:27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34"/>
      <c r="O541" s="25"/>
      <c r="P541" s="25"/>
      <c r="Q541" s="34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spans="1:27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34"/>
      <c r="O542" s="25"/>
      <c r="P542" s="25"/>
      <c r="Q542" s="34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spans="1:27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34"/>
      <c r="O543" s="25"/>
      <c r="P543" s="25"/>
      <c r="Q543" s="34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spans="1:27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34"/>
      <c r="O544" s="25"/>
      <c r="P544" s="25"/>
      <c r="Q544" s="34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spans="1:27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34"/>
      <c r="O545" s="25"/>
      <c r="P545" s="25"/>
      <c r="Q545" s="34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spans="1:27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34"/>
      <c r="O546" s="25"/>
      <c r="P546" s="25"/>
      <c r="Q546" s="34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spans="1:2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34"/>
      <c r="O547" s="25"/>
      <c r="P547" s="25"/>
      <c r="Q547" s="34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spans="1:27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34"/>
      <c r="O548" s="25"/>
      <c r="P548" s="25"/>
      <c r="Q548" s="34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spans="1:27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34"/>
      <c r="O549" s="25"/>
      <c r="P549" s="25"/>
      <c r="Q549" s="34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spans="1:27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34"/>
      <c r="O550" s="25"/>
      <c r="P550" s="25"/>
      <c r="Q550" s="34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spans="1:27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34"/>
      <c r="O551" s="25"/>
      <c r="P551" s="25"/>
      <c r="Q551" s="34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spans="1:27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34"/>
      <c r="O552" s="25"/>
      <c r="P552" s="25"/>
      <c r="Q552" s="34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spans="1:27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34"/>
      <c r="O553" s="25"/>
      <c r="P553" s="25"/>
      <c r="Q553" s="34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spans="1:27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34"/>
      <c r="O554" s="25"/>
      <c r="P554" s="25"/>
      <c r="Q554" s="34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spans="1:27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34"/>
      <c r="O555" s="25"/>
      <c r="P555" s="25"/>
      <c r="Q555" s="34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spans="1:27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34"/>
      <c r="O556" s="25"/>
      <c r="P556" s="25"/>
      <c r="Q556" s="34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spans="1:2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34"/>
      <c r="O557" s="25"/>
      <c r="P557" s="25"/>
      <c r="Q557" s="34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spans="1:27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34"/>
      <c r="O558" s="25"/>
      <c r="P558" s="25"/>
      <c r="Q558" s="34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spans="1:27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34"/>
      <c r="O559" s="25"/>
      <c r="P559" s="25"/>
      <c r="Q559" s="34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spans="1:27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34"/>
      <c r="O560" s="25"/>
      <c r="P560" s="25"/>
      <c r="Q560" s="34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spans="1:27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34"/>
      <c r="O561" s="25"/>
      <c r="P561" s="25"/>
      <c r="Q561" s="34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spans="1:27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34"/>
      <c r="O562" s="25"/>
      <c r="P562" s="25"/>
      <c r="Q562" s="34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spans="1:27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34"/>
      <c r="O563" s="25"/>
      <c r="P563" s="25"/>
      <c r="Q563" s="34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spans="1:27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34"/>
      <c r="O564" s="25"/>
      <c r="P564" s="25"/>
      <c r="Q564" s="34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spans="1:27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34"/>
      <c r="O565" s="25"/>
      <c r="P565" s="25"/>
      <c r="Q565" s="34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spans="1:27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34"/>
      <c r="O566" s="25"/>
      <c r="P566" s="25"/>
      <c r="Q566" s="34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spans="1:2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34"/>
      <c r="O567" s="25"/>
      <c r="P567" s="25"/>
      <c r="Q567" s="34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spans="1:27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34"/>
      <c r="O568" s="25"/>
      <c r="P568" s="25"/>
      <c r="Q568" s="34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spans="1:27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34"/>
      <c r="O569" s="25"/>
      <c r="P569" s="25"/>
      <c r="Q569" s="34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spans="1:27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34"/>
      <c r="O570" s="25"/>
      <c r="P570" s="25"/>
      <c r="Q570" s="34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spans="1:27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34"/>
      <c r="O571" s="25"/>
      <c r="P571" s="25"/>
      <c r="Q571" s="34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spans="1:27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34"/>
      <c r="O572" s="25"/>
      <c r="P572" s="25"/>
      <c r="Q572" s="34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spans="1:27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34"/>
      <c r="O573" s="25"/>
      <c r="P573" s="25"/>
      <c r="Q573" s="34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spans="1:27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34"/>
      <c r="O574" s="25"/>
      <c r="P574" s="25"/>
      <c r="Q574" s="34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spans="1:27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34"/>
      <c r="O575" s="25"/>
      <c r="P575" s="25"/>
      <c r="Q575" s="34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spans="1:27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34"/>
      <c r="O576" s="25"/>
      <c r="P576" s="25"/>
      <c r="Q576" s="34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spans="1:2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34"/>
      <c r="O577" s="25"/>
      <c r="P577" s="25"/>
      <c r="Q577" s="34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spans="1:27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34"/>
      <c r="O578" s="25"/>
      <c r="P578" s="25"/>
      <c r="Q578" s="34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spans="1:27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34"/>
      <c r="O579" s="25"/>
      <c r="P579" s="25"/>
      <c r="Q579" s="34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spans="1:27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34"/>
      <c r="O580" s="25"/>
      <c r="P580" s="25"/>
      <c r="Q580" s="34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spans="1:27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34"/>
      <c r="O581" s="25"/>
      <c r="P581" s="25"/>
      <c r="Q581" s="34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spans="1:27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34"/>
      <c r="O582" s="25"/>
      <c r="P582" s="25"/>
      <c r="Q582" s="34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spans="1:27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34"/>
      <c r="O583" s="25"/>
      <c r="P583" s="25"/>
      <c r="Q583" s="34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spans="1:27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34"/>
      <c r="O584" s="25"/>
      <c r="P584" s="25"/>
      <c r="Q584" s="34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spans="1:27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34"/>
      <c r="O585" s="25"/>
      <c r="P585" s="25"/>
      <c r="Q585" s="34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spans="1:27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34"/>
      <c r="O586" s="25"/>
      <c r="P586" s="25"/>
      <c r="Q586" s="34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spans="1:2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34"/>
      <c r="O587" s="25"/>
      <c r="P587" s="25"/>
      <c r="Q587" s="34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spans="1:27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34"/>
      <c r="O588" s="25"/>
      <c r="P588" s="25"/>
      <c r="Q588" s="34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spans="1:27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34"/>
      <c r="O589" s="25"/>
      <c r="P589" s="25"/>
      <c r="Q589" s="34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spans="1:27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34"/>
      <c r="O590" s="25"/>
      <c r="P590" s="25"/>
      <c r="Q590" s="34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spans="1:27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34"/>
      <c r="O591" s="25"/>
      <c r="P591" s="25"/>
      <c r="Q591" s="34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spans="1:27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34"/>
      <c r="O592" s="25"/>
      <c r="P592" s="25"/>
      <c r="Q592" s="34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spans="1:27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34"/>
      <c r="O593" s="25"/>
      <c r="P593" s="25"/>
      <c r="Q593" s="34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spans="1:27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34"/>
      <c r="O594" s="25"/>
      <c r="P594" s="25"/>
      <c r="Q594" s="34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spans="1:27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34"/>
      <c r="O595" s="25"/>
      <c r="P595" s="25"/>
      <c r="Q595" s="34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spans="1:27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34"/>
      <c r="O596" s="25"/>
      <c r="P596" s="25"/>
      <c r="Q596" s="34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spans="1:2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34"/>
      <c r="O597" s="25"/>
      <c r="P597" s="25"/>
      <c r="Q597" s="34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spans="1:27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34"/>
      <c r="O598" s="25"/>
      <c r="P598" s="25"/>
      <c r="Q598" s="34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spans="1:27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34"/>
      <c r="O599" s="25"/>
      <c r="P599" s="25"/>
      <c r="Q599" s="34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spans="1:27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34"/>
      <c r="O600" s="25"/>
      <c r="P600" s="25"/>
      <c r="Q600" s="34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spans="1:27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34"/>
      <c r="O601" s="25"/>
      <c r="P601" s="25"/>
      <c r="Q601" s="34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spans="1:27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34"/>
      <c r="O602" s="25"/>
      <c r="P602" s="25"/>
      <c r="Q602" s="34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spans="1:27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34"/>
      <c r="O603" s="25"/>
      <c r="P603" s="25"/>
      <c r="Q603" s="34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spans="1:27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34"/>
      <c r="O604" s="25"/>
      <c r="P604" s="25"/>
      <c r="Q604" s="34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spans="1:27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34"/>
      <c r="O605" s="25"/>
      <c r="P605" s="25"/>
      <c r="Q605" s="34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spans="1:27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34"/>
      <c r="O606" s="25"/>
      <c r="P606" s="25"/>
      <c r="Q606" s="34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spans="1:2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34"/>
      <c r="O607" s="25"/>
      <c r="P607" s="25"/>
      <c r="Q607" s="34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spans="1:27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34"/>
      <c r="O608" s="25"/>
      <c r="P608" s="25"/>
      <c r="Q608" s="34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spans="1:27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34"/>
      <c r="O609" s="25"/>
      <c r="P609" s="25"/>
      <c r="Q609" s="34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spans="1:27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34"/>
      <c r="O610" s="25"/>
      <c r="P610" s="25"/>
      <c r="Q610" s="34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spans="1:27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34"/>
      <c r="O611" s="25"/>
      <c r="P611" s="25"/>
      <c r="Q611" s="34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spans="1:27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34"/>
      <c r="O612" s="25"/>
      <c r="P612" s="25"/>
      <c r="Q612" s="34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spans="1:27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34"/>
      <c r="O613" s="25"/>
      <c r="P613" s="25"/>
      <c r="Q613" s="34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spans="1:27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34"/>
      <c r="O614" s="25"/>
      <c r="P614" s="25"/>
      <c r="Q614" s="34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spans="1:27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34"/>
      <c r="O615" s="25"/>
      <c r="P615" s="25"/>
      <c r="Q615" s="34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spans="1:27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34"/>
      <c r="O616" s="25"/>
      <c r="P616" s="25"/>
      <c r="Q616" s="34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spans="1:2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34"/>
      <c r="O617" s="25"/>
      <c r="P617" s="25"/>
      <c r="Q617" s="34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spans="1:27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34"/>
      <c r="O618" s="25"/>
      <c r="P618" s="25"/>
      <c r="Q618" s="34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spans="1:27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34"/>
      <c r="O619" s="25"/>
      <c r="P619" s="25"/>
      <c r="Q619" s="34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spans="1:27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34"/>
      <c r="O620" s="25"/>
      <c r="P620" s="25"/>
      <c r="Q620" s="34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spans="1:27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34"/>
      <c r="O621" s="25"/>
      <c r="P621" s="25"/>
      <c r="Q621" s="34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spans="1:27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34"/>
      <c r="O622" s="25"/>
      <c r="P622" s="25"/>
      <c r="Q622" s="34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spans="1:27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34"/>
      <c r="O623" s="25"/>
      <c r="P623" s="25"/>
      <c r="Q623" s="34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spans="1:27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34"/>
      <c r="O624" s="25"/>
      <c r="P624" s="25"/>
      <c r="Q624" s="34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spans="1:27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34"/>
      <c r="O625" s="25"/>
      <c r="P625" s="25"/>
      <c r="Q625" s="34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spans="1:27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34"/>
      <c r="O626" s="25"/>
      <c r="P626" s="25"/>
      <c r="Q626" s="34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spans="1: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34"/>
      <c r="O627" s="25"/>
      <c r="P627" s="25"/>
      <c r="Q627" s="34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spans="1:27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34"/>
      <c r="O628" s="25"/>
      <c r="P628" s="25"/>
      <c r="Q628" s="34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spans="1:27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34"/>
      <c r="O629" s="25"/>
      <c r="P629" s="25"/>
      <c r="Q629" s="34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spans="1:27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34"/>
      <c r="O630" s="25"/>
      <c r="P630" s="25"/>
      <c r="Q630" s="34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spans="1:27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34"/>
      <c r="O631" s="25"/>
      <c r="P631" s="25"/>
      <c r="Q631" s="34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spans="1:27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34"/>
      <c r="O632" s="25"/>
      <c r="P632" s="25"/>
      <c r="Q632" s="34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spans="1:27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34"/>
      <c r="O633" s="25"/>
      <c r="P633" s="25"/>
      <c r="Q633" s="34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spans="1:27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34"/>
      <c r="O634" s="25"/>
      <c r="P634" s="25"/>
      <c r="Q634" s="34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spans="1:27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34"/>
      <c r="O635" s="25"/>
      <c r="P635" s="25"/>
      <c r="Q635" s="34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spans="1:27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34"/>
      <c r="O636" s="25"/>
      <c r="P636" s="25"/>
      <c r="Q636" s="34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spans="1:2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34"/>
      <c r="O637" s="25"/>
      <c r="P637" s="25"/>
      <c r="Q637" s="34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spans="1:27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34"/>
      <c r="O638" s="25"/>
      <c r="P638" s="25"/>
      <c r="Q638" s="34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spans="1:27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34"/>
      <c r="O639" s="25"/>
      <c r="P639" s="25"/>
      <c r="Q639" s="34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spans="1:27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34"/>
      <c r="O640" s="25"/>
      <c r="P640" s="25"/>
      <c r="Q640" s="34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spans="1:27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34"/>
      <c r="O641" s="25"/>
      <c r="P641" s="25"/>
      <c r="Q641" s="34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spans="1:27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34"/>
      <c r="O642" s="25"/>
      <c r="P642" s="25"/>
      <c r="Q642" s="34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spans="1:27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34"/>
      <c r="O643" s="25"/>
      <c r="P643" s="25"/>
      <c r="Q643" s="34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spans="1:27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34"/>
      <c r="O644" s="25"/>
      <c r="P644" s="25"/>
      <c r="Q644" s="34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spans="1:27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34"/>
      <c r="O645" s="25"/>
      <c r="P645" s="25"/>
      <c r="Q645" s="34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spans="1:27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34"/>
      <c r="O646" s="25"/>
      <c r="P646" s="25"/>
      <c r="Q646" s="34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spans="1:2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34"/>
      <c r="O647" s="25"/>
      <c r="P647" s="25"/>
      <c r="Q647" s="34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spans="1:27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34"/>
      <c r="O648" s="25"/>
      <c r="P648" s="25"/>
      <c r="Q648" s="34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spans="1:27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34"/>
      <c r="O649" s="25"/>
      <c r="P649" s="25"/>
      <c r="Q649" s="34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spans="1:27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34"/>
      <c r="O650" s="25"/>
      <c r="P650" s="25"/>
      <c r="Q650" s="34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spans="1:27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34"/>
      <c r="O651" s="25"/>
      <c r="P651" s="25"/>
      <c r="Q651" s="34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spans="1:27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34"/>
      <c r="O652" s="25"/>
      <c r="P652" s="25"/>
      <c r="Q652" s="34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spans="1:27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34"/>
      <c r="O653" s="25"/>
      <c r="P653" s="25"/>
      <c r="Q653" s="34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spans="1:27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34"/>
      <c r="O654" s="25"/>
      <c r="P654" s="25"/>
      <c r="Q654" s="34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spans="1:27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34"/>
      <c r="O655" s="25"/>
      <c r="P655" s="25"/>
      <c r="Q655" s="34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spans="1:27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34"/>
      <c r="O656" s="25"/>
      <c r="P656" s="25"/>
      <c r="Q656" s="34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spans="1:2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34"/>
      <c r="O657" s="25"/>
      <c r="P657" s="25"/>
      <c r="Q657" s="34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spans="1:27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34"/>
      <c r="O658" s="25"/>
      <c r="P658" s="25"/>
      <c r="Q658" s="34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spans="1:27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34"/>
      <c r="O659" s="25"/>
      <c r="P659" s="25"/>
      <c r="Q659" s="34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spans="1:27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34"/>
      <c r="O660" s="25"/>
      <c r="P660" s="25"/>
      <c r="Q660" s="34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spans="1:27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34"/>
      <c r="O661" s="25"/>
      <c r="P661" s="25"/>
      <c r="Q661" s="34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spans="1:27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34"/>
      <c r="O662" s="25"/>
      <c r="P662" s="25"/>
      <c r="Q662" s="34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spans="1:27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34"/>
      <c r="O663" s="25"/>
      <c r="P663" s="25"/>
      <c r="Q663" s="34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spans="1:27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34"/>
      <c r="O664" s="25"/>
      <c r="P664" s="25"/>
      <c r="Q664" s="34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spans="1:27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34"/>
      <c r="O665" s="25"/>
      <c r="P665" s="25"/>
      <c r="Q665" s="34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spans="1:27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34"/>
      <c r="O666" s="25"/>
      <c r="P666" s="25"/>
      <c r="Q666" s="34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spans="1:2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34"/>
      <c r="O667" s="25"/>
      <c r="P667" s="25"/>
      <c r="Q667" s="34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spans="1:27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34"/>
      <c r="O668" s="25"/>
      <c r="P668" s="25"/>
      <c r="Q668" s="34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spans="1:27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34"/>
      <c r="O669" s="25"/>
      <c r="P669" s="25"/>
      <c r="Q669" s="34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spans="1:27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34"/>
      <c r="O670" s="25"/>
      <c r="P670" s="25"/>
      <c r="Q670" s="34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spans="1:27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34"/>
      <c r="O671" s="25"/>
      <c r="P671" s="25"/>
      <c r="Q671" s="34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spans="1:27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34"/>
      <c r="O672" s="25"/>
      <c r="P672" s="25"/>
      <c r="Q672" s="34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spans="1:27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34"/>
      <c r="O673" s="25"/>
      <c r="P673" s="25"/>
      <c r="Q673" s="34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spans="1:27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34"/>
      <c r="O674" s="25"/>
      <c r="P674" s="25"/>
      <c r="Q674" s="34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spans="1:27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34"/>
      <c r="O675" s="25"/>
      <c r="P675" s="25"/>
      <c r="Q675" s="34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spans="1:27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34"/>
      <c r="O676" s="25"/>
      <c r="P676" s="25"/>
      <c r="Q676" s="34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spans="1:2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34"/>
      <c r="O677" s="25"/>
      <c r="P677" s="25"/>
      <c r="Q677" s="34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spans="1:27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34"/>
      <c r="O678" s="25"/>
      <c r="P678" s="25"/>
      <c r="Q678" s="34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spans="1:27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34"/>
      <c r="O679" s="25"/>
      <c r="P679" s="25"/>
      <c r="Q679" s="34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spans="1:27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34"/>
      <c r="O680" s="25"/>
      <c r="P680" s="25"/>
      <c r="Q680" s="34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spans="1:27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34"/>
      <c r="O681" s="25"/>
      <c r="P681" s="25"/>
      <c r="Q681" s="34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spans="1:27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34"/>
      <c r="O682" s="25"/>
      <c r="P682" s="25"/>
      <c r="Q682" s="34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spans="1:27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34"/>
      <c r="O683" s="25"/>
      <c r="P683" s="25"/>
      <c r="Q683" s="34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spans="1:27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34"/>
      <c r="O684" s="25"/>
      <c r="P684" s="25"/>
      <c r="Q684" s="34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spans="1:27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34"/>
      <c r="O685" s="25"/>
      <c r="P685" s="25"/>
      <c r="Q685" s="34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spans="1:27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34"/>
      <c r="O686" s="25"/>
      <c r="P686" s="25"/>
      <c r="Q686" s="34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spans="1:2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34"/>
      <c r="O687" s="25"/>
      <c r="P687" s="25"/>
      <c r="Q687" s="34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spans="1:27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34"/>
      <c r="O688" s="25"/>
      <c r="P688" s="25"/>
      <c r="Q688" s="34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spans="1:27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34"/>
      <c r="O689" s="25"/>
      <c r="P689" s="25"/>
      <c r="Q689" s="34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spans="1:27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34"/>
      <c r="O690" s="25"/>
      <c r="P690" s="25"/>
      <c r="Q690" s="34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spans="1:27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34"/>
      <c r="O691" s="25"/>
      <c r="P691" s="25"/>
      <c r="Q691" s="34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spans="1:27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34"/>
      <c r="O692" s="25"/>
      <c r="P692" s="25"/>
      <c r="Q692" s="34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spans="1:27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34"/>
      <c r="O693" s="25"/>
      <c r="P693" s="25"/>
      <c r="Q693" s="34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spans="1:27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34"/>
      <c r="O694" s="25"/>
      <c r="P694" s="25"/>
      <c r="Q694" s="34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spans="1:27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34"/>
      <c r="O695" s="25"/>
      <c r="P695" s="25"/>
      <c r="Q695" s="34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spans="1:27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34"/>
      <c r="O696" s="25"/>
      <c r="P696" s="25"/>
      <c r="Q696" s="34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spans="1:2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34"/>
      <c r="O697" s="25"/>
      <c r="P697" s="25"/>
      <c r="Q697" s="34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spans="1:27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34"/>
      <c r="O698" s="25"/>
      <c r="P698" s="25"/>
      <c r="Q698" s="34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spans="1:27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34"/>
      <c r="O699" s="25"/>
      <c r="P699" s="25"/>
      <c r="Q699" s="34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spans="1:27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34"/>
      <c r="O700" s="25"/>
      <c r="P700" s="25"/>
      <c r="Q700" s="34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spans="1:27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34"/>
      <c r="O701" s="25"/>
      <c r="P701" s="25"/>
      <c r="Q701" s="34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spans="1:27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34"/>
      <c r="O702" s="25"/>
      <c r="P702" s="25"/>
      <c r="Q702" s="34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spans="1:27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34"/>
      <c r="O703" s="25"/>
      <c r="P703" s="25"/>
      <c r="Q703" s="34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spans="1:27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34"/>
      <c r="O704" s="25"/>
      <c r="P704" s="25"/>
      <c r="Q704" s="34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spans="1:27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34"/>
      <c r="O705" s="25"/>
      <c r="P705" s="25"/>
      <c r="Q705" s="34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spans="1:27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34"/>
      <c r="O706" s="25"/>
      <c r="P706" s="25"/>
      <c r="Q706" s="34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spans="1:2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34"/>
      <c r="O707" s="25"/>
      <c r="P707" s="25"/>
      <c r="Q707" s="34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spans="1:27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34"/>
      <c r="O708" s="25"/>
      <c r="P708" s="25"/>
      <c r="Q708" s="34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spans="1:27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34"/>
      <c r="O709" s="25"/>
      <c r="P709" s="25"/>
      <c r="Q709" s="34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spans="1:27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34"/>
      <c r="O710" s="25"/>
      <c r="P710" s="25"/>
      <c r="Q710" s="34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spans="1:27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34"/>
      <c r="O711" s="25"/>
      <c r="P711" s="25"/>
      <c r="Q711" s="34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spans="1:27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34"/>
      <c r="O712" s="25"/>
      <c r="P712" s="25"/>
      <c r="Q712" s="34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spans="1:27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34"/>
      <c r="O713" s="25"/>
      <c r="P713" s="25"/>
      <c r="Q713" s="34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spans="1:27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34"/>
      <c r="O714" s="25"/>
      <c r="P714" s="25"/>
      <c r="Q714" s="34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spans="1:27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34"/>
      <c r="O715" s="25"/>
      <c r="P715" s="25"/>
      <c r="Q715" s="34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spans="1:27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34"/>
      <c r="O716" s="25"/>
      <c r="P716" s="25"/>
      <c r="Q716" s="34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spans="1:2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34"/>
      <c r="O717" s="25"/>
      <c r="P717" s="25"/>
      <c r="Q717" s="34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spans="1:27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34"/>
      <c r="O718" s="25"/>
      <c r="P718" s="25"/>
      <c r="Q718" s="34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spans="1:27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34"/>
      <c r="O719" s="25"/>
      <c r="P719" s="25"/>
      <c r="Q719" s="34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spans="1:27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34"/>
      <c r="O720" s="25"/>
      <c r="P720" s="25"/>
      <c r="Q720" s="34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spans="1:27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34"/>
      <c r="O721" s="25"/>
      <c r="P721" s="25"/>
      <c r="Q721" s="34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spans="1:27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34"/>
      <c r="O722" s="25"/>
      <c r="P722" s="25"/>
      <c r="Q722" s="34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spans="1:27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34"/>
      <c r="O723" s="25"/>
      <c r="P723" s="25"/>
      <c r="Q723" s="34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spans="1:27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34"/>
      <c r="O724" s="25"/>
      <c r="P724" s="25"/>
      <c r="Q724" s="34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spans="1:27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34"/>
      <c r="O725" s="25"/>
      <c r="P725" s="25"/>
      <c r="Q725" s="34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spans="1:27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34"/>
      <c r="O726" s="25"/>
      <c r="P726" s="25"/>
      <c r="Q726" s="34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spans="1: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34"/>
      <c r="O727" s="25"/>
      <c r="P727" s="25"/>
      <c r="Q727" s="34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spans="1:27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34"/>
      <c r="O728" s="25"/>
      <c r="P728" s="25"/>
      <c r="Q728" s="34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spans="1:27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34"/>
      <c r="O729" s="25"/>
      <c r="P729" s="25"/>
      <c r="Q729" s="34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spans="1:27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34"/>
      <c r="O730" s="25"/>
      <c r="P730" s="25"/>
      <c r="Q730" s="34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spans="1:27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34"/>
      <c r="O731" s="25"/>
      <c r="P731" s="25"/>
      <c r="Q731" s="34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spans="1:27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34"/>
      <c r="O732" s="25"/>
      <c r="P732" s="25"/>
      <c r="Q732" s="34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spans="1:27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34"/>
      <c r="O733" s="25"/>
      <c r="P733" s="25"/>
      <c r="Q733" s="34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spans="1:27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34"/>
      <c r="O734" s="25"/>
      <c r="P734" s="25"/>
      <c r="Q734" s="34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spans="1:27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34"/>
      <c r="O735" s="25"/>
      <c r="P735" s="25"/>
      <c r="Q735" s="34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spans="1:27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34"/>
      <c r="O736" s="25"/>
      <c r="P736" s="25"/>
      <c r="Q736" s="34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spans="1:2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34"/>
      <c r="O737" s="25"/>
      <c r="P737" s="25"/>
      <c r="Q737" s="34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spans="1:27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34"/>
      <c r="O738" s="25"/>
      <c r="P738" s="25"/>
      <c r="Q738" s="34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spans="1:27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34"/>
      <c r="O739" s="25"/>
      <c r="P739" s="25"/>
      <c r="Q739" s="34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spans="1:27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34"/>
      <c r="O740" s="25"/>
      <c r="P740" s="25"/>
      <c r="Q740" s="34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spans="1:27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34"/>
      <c r="O741" s="25"/>
      <c r="P741" s="25"/>
      <c r="Q741" s="34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spans="1:27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34"/>
      <c r="O742" s="25"/>
      <c r="P742" s="25"/>
      <c r="Q742" s="34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spans="1:27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34"/>
      <c r="O743" s="25"/>
      <c r="P743" s="25"/>
      <c r="Q743" s="34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spans="1:27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34"/>
      <c r="O744" s="25"/>
      <c r="P744" s="25"/>
      <c r="Q744" s="34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spans="1:27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34"/>
      <c r="O745" s="25"/>
      <c r="P745" s="25"/>
      <c r="Q745" s="34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spans="1:27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34"/>
      <c r="O746" s="25"/>
      <c r="P746" s="25"/>
      <c r="Q746" s="34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spans="1:2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34"/>
      <c r="O747" s="25"/>
      <c r="P747" s="25"/>
      <c r="Q747" s="34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spans="1:27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34"/>
      <c r="O748" s="25"/>
      <c r="P748" s="25"/>
      <c r="Q748" s="34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spans="1:27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34"/>
      <c r="O749" s="25"/>
      <c r="P749" s="25"/>
      <c r="Q749" s="34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spans="1:27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34"/>
      <c r="O750" s="25"/>
      <c r="P750" s="25"/>
      <c r="Q750" s="34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spans="1:27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34"/>
      <c r="O751" s="25"/>
      <c r="P751" s="25"/>
      <c r="Q751" s="34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spans="1:27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34"/>
      <c r="O752" s="25"/>
      <c r="P752" s="25"/>
      <c r="Q752" s="34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spans="1:27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34"/>
      <c r="O753" s="25"/>
      <c r="P753" s="25"/>
      <c r="Q753" s="34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spans="1:27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34"/>
      <c r="O754" s="25"/>
      <c r="P754" s="25"/>
      <c r="Q754" s="34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spans="1:27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34"/>
      <c r="O755" s="25"/>
      <c r="P755" s="25"/>
      <c r="Q755" s="34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spans="1:27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34"/>
      <c r="O756" s="25"/>
      <c r="P756" s="25"/>
      <c r="Q756" s="34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spans="1:2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34"/>
      <c r="O757" s="25"/>
      <c r="P757" s="25"/>
      <c r="Q757" s="34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spans="1:27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34"/>
      <c r="O758" s="25"/>
      <c r="P758" s="25"/>
      <c r="Q758" s="34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spans="1:27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34"/>
      <c r="O759" s="25"/>
      <c r="P759" s="25"/>
      <c r="Q759" s="34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spans="1:27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34"/>
      <c r="O760" s="25"/>
      <c r="P760" s="25"/>
      <c r="Q760" s="34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spans="1:27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34"/>
      <c r="O761" s="25"/>
      <c r="P761" s="25"/>
      <c r="Q761" s="34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spans="1:27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34"/>
      <c r="O762" s="25"/>
      <c r="P762" s="25"/>
      <c r="Q762" s="34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spans="1:27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34"/>
      <c r="O763" s="25"/>
      <c r="P763" s="25"/>
      <c r="Q763" s="34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spans="1:27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34"/>
      <c r="O764" s="25"/>
      <c r="P764" s="25"/>
      <c r="Q764" s="34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spans="1:27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34"/>
      <c r="O765" s="25"/>
      <c r="P765" s="25"/>
      <c r="Q765" s="34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spans="1:27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34"/>
      <c r="O766" s="25"/>
      <c r="P766" s="25"/>
      <c r="Q766" s="34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spans="1:2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34"/>
      <c r="O767" s="25"/>
      <c r="P767" s="25"/>
      <c r="Q767" s="34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spans="1:27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34"/>
      <c r="O768" s="25"/>
      <c r="P768" s="25"/>
      <c r="Q768" s="34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spans="1:27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34"/>
      <c r="O769" s="25"/>
      <c r="P769" s="25"/>
      <c r="Q769" s="34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spans="1:27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34"/>
      <c r="O770" s="25"/>
      <c r="P770" s="25"/>
      <c r="Q770" s="34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spans="1:27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34"/>
      <c r="O771" s="25"/>
      <c r="P771" s="25"/>
      <c r="Q771" s="34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spans="1:27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34"/>
      <c r="O772" s="25"/>
      <c r="P772" s="25"/>
      <c r="Q772" s="34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spans="1:27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34"/>
      <c r="O773" s="25"/>
      <c r="P773" s="25"/>
      <c r="Q773" s="34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spans="1:27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34"/>
      <c r="O774" s="25"/>
      <c r="P774" s="25"/>
      <c r="Q774" s="34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spans="1:27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34"/>
      <c r="O775" s="25"/>
      <c r="P775" s="25"/>
      <c r="Q775" s="34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spans="1:27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34"/>
      <c r="O776" s="25"/>
      <c r="P776" s="25"/>
      <c r="Q776" s="34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spans="1:2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34"/>
      <c r="O777" s="25"/>
      <c r="P777" s="25"/>
      <c r="Q777" s="34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spans="1:27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34"/>
      <c r="O778" s="25"/>
      <c r="P778" s="25"/>
      <c r="Q778" s="34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spans="1:27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34"/>
      <c r="O779" s="25"/>
      <c r="P779" s="25"/>
      <c r="Q779" s="34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spans="1:27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34"/>
      <c r="O780" s="25"/>
      <c r="P780" s="25"/>
      <c r="Q780" s="34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spans="1:27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34"/>
      <c r="O781" s="25"/>
      <c r="P781" s="25"/>
      <c r="Q781" s="34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spans="1:27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34"/>
      <c r="O782" s="25"/>
      <c r="P782" s="25"/>
      <c r="Q782" s="34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spans="1:27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34"/>
      <c r="O783" s="25"/>
      <c r="P783" s="25"/>
      <c r="Q783" s="34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spans="1:27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34"/>
      <c r="O784" s="25"/>
      <c r="P784" s="25"/>
      <c r="Q784" s="34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spans="1:27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34"/>
      <c r="O785" s="25"/>
      <c r="P785" s="25"/>
      <c r="Q785" s="34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spans="1:27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34"/>
      <c r="O786" s="25"/>
      <c r="P786" s="25"/>
      <c r="Q786" s="34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spans="1:2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34"/>
      <c r="O787" s="25"/>
      <c r="P787" s="25"/>
      <c r="Q787" s="34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spans="1:27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34"/>
      <c r="O788" s="25"/>
      <c r="P788" s="25"/>
      <c r="Q788" s="34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spans="1:27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34"/>
      <c r="O789" s="25"/>
      <c r="P789" s="25"/>
      <c r="Q789" s="34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spans="1:27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34"/>
      <c r="O790" s="25"/>
      <c r="P790" s="25"/>
      <c r="Q790" s="34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spans="1:27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34"/>
      <c r="O791" s="25"/>
      <c r="P791" s="25"/>
      <c r="Q791" s="34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spans="1:27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34"/>
      <c r="O792" s="25"/>
      <c r="P792" s="25"/>
      <c r="Q792" s="34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spans="1:27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34"/>
      <c r="O793" s="25"/>
      <c r="P793" s="25"/>
      <c r="Q793" s="34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spans="1:27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34"/>
      <c r="O794" s="25"/>
      <c r="P794" s="25"/>
      <c r="Q794" s="34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spans="1:27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34"/>
      <c r="O795" s="25"/>
      <c r="P795" s="25"/>
      <c r="Q795" s="34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spans="1:27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34"/>
      <c r="O796" s="25"/>
      <c r="P796" s="25"/>
      <c r="Q796" s="34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spans="1:2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34"/>
      <c r="O797" s="25"/>
      <c r="P797" s="25"/>
      <c r="Q797" s="34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spans="1:27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34"/>
      <c r="O798" s="25"/>
      <c r="P798" s="25"/>
      <c r="Q798" s="34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spans="1:27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34"/>
      <c r="O799" s="25"/>
      <c r="P799" s="25"/>
      <c r="Q799" s="34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spans="1:27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34"/>
      <c r="O800" s="25"/>
      <c r="P800" s="25"/>
      <c r="Q800" s="34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spans="1:27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34"/>
      <c r="O801" s="25"/>
      <c r="P801" s="25"/>
      <c r="Q801" s="34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spans="1:27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34"/>
      <c r="O802" s="25"/>
      <c r="P802" s="25"/>
      <c r="Q802" s="34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spans="1:27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34"/>
      <c r="O803" s="25"/>
      <c r="P803" s="25"/>
      <c r="Q803" s="34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spans="1:27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34"/>
      <c r="O804" s="25"/>
      <c r="P804" s="25"/>
      <c r="Q804" s="34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spans="1:27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34"/>
      <c r="O805" s="25"/>
      <c r="P805" s="25"/>
      <c r="Q805" s="34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spans="1:27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34"/>
      <c r="O806" s="25"/>
      <c r="P806" s="25"/>
      <c r="Q806" s="34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spans="1:2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34"/>
      <c r="O807" s="25"/>
      <c r="P807" s="25"/>
      <c r="Q807" s="34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spans="1:27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34"/>
      <c r="O808" s="25"/>
      <c r="P808" s="25"/>
      <c r="Q808" s="34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spans="1:27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34"/>
      <c r="O809" s="25"/>
      <c r="P809" s="25"/>
      <c r="Q809" s="34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spans="1:27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34"/>
      <c r="O810" s="25"/>
      <c r="P810" s="25"/>
      <c r="Q810" s="34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spans="1:27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34"/>
      <c r="O811" s="25"/>
      <c r="P811" s="25"/>
      <c r="Q811" s="34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spans="1:27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34"/>
      <c r="O812" s="25"/>
      <c r="P812" s="25"/>
      <c r="Q812" s="34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spans="1:27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34"/>
      <c r="O813" s="25"/>
      <c r="P813" s="25"/>
      <c r="Q813" s="34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spans="1:27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34"/>
      <c r="O814" s="25"/>
      <c r="P814" s="25"/>
      <c r="Q814" s="34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spans="1:27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34"/>
      <c r="O815" s="25"/>
      <c r="P815" s="25"/>
      <c r="Q815" s="34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spans="1:27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34"/>
      <c r="O816" s="25"/>
      <c r="P816" s="25"/>
      <c r="Q816" s="34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spans="1:2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34"/>
      <c r="O817" s="25"/>
      <c r="P817" s="25"/>
      <c r="Q817" s="34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spans="1:27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34"/>
      <c r="O818" s="25"/>
      <c r="P818" s="25"/>
      <c r="Q818" s="34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spans="1:27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34"/>
      <c r="O819" s="25"/>
      <c r="P819" s="25"/>
      <c r="Q819" s="34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spans="1:27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34"/>
      <c r="O820" s="25"/>
      <c r="P820" s="25"/>
      <c r="Q820" s="34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spans="1:27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34"/>
      <c r="O821" s="25"/>
      <c r="P821" s="25"/>
      <c r="Q821" s="34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spans="1:27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34"/>
      <c r="O822" s="25"/>
      <c r="P822" s="25"/>
      <c r="Q822" s="34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spans="1:27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34"/>
      <c r="O823" s="25"/>
      <c r="P823" s="25"/>
      <c r="Q823" s="34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spans="1:27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34"/>
      <c r="O824" s="25"/>
      <c r="P824" s="25"/>
      <c r="Q824" s="34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spans="1:27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34"/>
      <c r="O825" s="25"/>
      <c r="P825" s="25"/>
      <c r="Q825" s="34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spans="1:27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34"/>
      <c r="O826" s="25"/>
      <c r="P826" s="25"/>
      <c r="Q826" s="34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spans="1: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34"/>
      <c r="O827" s="25"/>
      <c r="P827" s="25"/>
      <c r="Q827" s="34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spans="1:27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34"/>
      <c r="O828" s="25"/>
      <c r="P828" s="25"/>
      <c r="Q828" s="34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spans="1:27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34"/>
      <c r="O829" s="25"/>
      <c r="P829" s="25"/>
      <c r="Q829" s="34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spans="1:27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34"/>
      <c r="O830" s="25"/>
      <c r="P830" s="25"/>
      <c r="Q830" s="34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spans="1:27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34"/>
      <c r="O831" s="25"/>
      <c r="P831" s="25"/>
      <c r="Q831" s="34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spans="1:27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34"/>
      <c r="O832" s="25"/>
      <c r="P832" s="25"/>
      <c r="Q832" s="34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spans="1:27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34"/>
      <c r="O833" s="25"/>
      <c r="P833" s="25"/>
      <c r="Q833" s="34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spans="1:27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34"/>
      <c r="O834" s="25"/>
      <c r="P834" s="25"/>
      <c r="Q834" s="34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spans="1:27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34"/>
      <c r="O835" s="25"/>
      <c r="P835" s="25"/>
      <c r="Q835" s="34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spans="1:27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34"/>
      <c r="O836" s="25"/>
      <c r="P836" s="25"/>
      <c r="Q836" s="34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spans="1:2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34"/>
      <c r="O837" s="25"/>
      <c r="P837" s="25"/>
      <c r="Q837" s="34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spans="1:27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34"/>
      <c r="O838" s="25"/>
      <c r="P838" s="25"/>
      <c r="Q838" s="34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spans="1:27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34"/>
      <c r="O839" s="25"/>
      <c r="P839" s="25"/>
      <c r="Q839" s="34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spans="1:27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34"/>
      <c r="O840" s="25"/>
      <c r="P840" s="25"/>
      <c r="Q840" s="34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spans="1:27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34"/>
      <c r="O841" s="25"/>
      <c r="P841" s="25"/>
      <c r="Q841" s="34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spans="1:27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34"/>
      <c r="O842" s="25"/>
      <c r="P842" s="25"/>
      <c r="Q842" s="34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spans="1:27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34"/>
      <c r="O843" s="25"/>
      <c r="P843" s="25"/>
      <c r="Q843" s="34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spans="1:27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34"/>
      <c r="O844" s="25"/>
      <c r="P844" s="25"/>
      <c r="Q844" s="34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spans="1:27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34"/>
      <c r="O845" s="25"/>
      <c r="P845" s="25"/>
      <c r="Q845" s="34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spans="1:27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34"/>
      <c r="O846" s="25"/>
      <c r="P846" s="25"/>
      <c r="Q846" s="34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spans="1:2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34"/>
      <c r="O847" s="25"/>
      <c r="P847" s="25"/>
      <c r="Q847" s="34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spans="1:27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34"/>
      <c r="O848" s="25"/>
      <c r="P848" s="25"/>
      <c r="Q848" s="34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spans="1:27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34"/>
      <c r="O849" s="25"/>
      <c r="P849" s="25"/>
      <c r="Q849" s="34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spans="1:27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34"/>
      <c r="O850" s="25"/>
      <c r="P850" s="25"/>
      <c r="Q850" s="34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spans="1:27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34"/>
      <c r="O851" s="25"/>
      <c r="P851" s="25"/>
      <c r="Q851" s="34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spans="1:27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34"/>
      <c r="O852" s="25"/>
      <c r="P852" s="25"/>
      <c r="Q852" s="34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spans="1:27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34"/>
      <c r="O853" s="25"/>
      <c r="P853" s="25"/>
      <c r="Q853" s="34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spans="1:27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34"/>
      <c r="O854" s="25"/>
      <c r="P854" s="25"/>
      <c r="Q854" s="34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spans="1:27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34"/>
      <c r="O855" s="25"/>
      <c r="P855" s="25"/>
      <c r="Q855" s="34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spans="1:27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34"/>
      <c r="O856" s="25"/>
      <c r="P856" s="25"/>
      <c r="Q856" s="34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spans="1:2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34"/>
      <c r="O857" s="25"/>
      <c r="P857" s="25"/>
      <c r="Q857" s="34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spans="1:27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34"/>
      <c r="O858" s="25"/>
      <c r="P858" s="25"/>
      <c r="Q858" s="34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spans="1:27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34"/>
      <c r="O859" s="25"/>
      <c r="P859" s="25"/>
      <c r="Q859" s="34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spans="1:27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34"/>
      <c r="O860" s="25"/>
      <c r="P860" s="25"/>
      <c r="Q860" s="34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spans="1:27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34"/>
      <c r="O861" s="25"/>
      <c r="P861" s="25"/>
      <c r="Q861" s="34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spans="1:27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34"/>
      <c r="O862" s="25"/>
      <c r="P862" s="25"/>
      <c r="Q862" s="34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spans="1:27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34"/>
      <c r="O863" s="25"/>
      <c r="P863" s="25"/>
      <c r="Q863" s="34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spans="1:27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34"/>
      <c r="O864" s="25"/>
      <c r="P864" s="25"/>
      <c r="Q864" s="34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spans="1:27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34"/>
      <c r="O865" s="25"/>
      <c r="P865" s="25"/>
      <c r="Q865" s="34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spans="1:27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34"/>
      <c r="O866" s="25"/>
      <c r="P866" s="25"/>
      <c r="Q866" s="34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spans="1:2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34"/>
      <c r="O867" s="25"/>
      <c r="P867" s="25"/>
      <c r="Q867" s="34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spans="1:27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34"/>
      <c r="O868" s="25"/>
      <c r="P868" s="25"/>
      <c r="Q868" s="34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spans="1:27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34"/>
      <c r="O869" s="25"/>
      <c r="P869" s="25"/>
      <c r="Q869" s="34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spans="1:27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34"/>
      <c r="O870" s="25"/>
      <c r="P870" s="25"/>
      <c r="Q870" s="34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spans="1:27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34"/>
      <c r="O871" s="25"/>
      <c r="P871" s="25"/>
      <c r="Q871" s="34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spans="1:27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34"/>
      <c r="O872" s="25"/>
      <c r="P872" s="25"/>
      <c r="Q872" s="34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spans="1:27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34"/>
      <c r="O873" s="25"/>
      <c r="P873" s="25"/>
      <c r="Q873" s="34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spans="1:27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34"/>
      <c r="O874" s="25"/>
      <c r="P874" s="25"/>
      <c r="Q874" s="34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spans="1:27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34"/>
      <c r="O875" s="25"/>
      <c r="P875" s="25"/>
      <c r="Q875" s="34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spans="1:27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34"/>
      <c r="O876" s="25"/>
      <c r="P876" s="25"/>
      <c r="Q876" s="34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spans="1:2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34"/>
      <c r="O877" s="25"/>
      <c r="P877" s="25"/>
      <c r="Q877" s="34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spans="1:27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34"/>
      <c r="O878" s="25"/>
      <c r="P878" s="25"/>
      <c r="Q878" s="34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spans="1:27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34"/>
      <c r="O879" s="25"/>
      <c r="P879" s="25"/>
      <c r="Q879" s="34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spans="1:27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34"/>
      <c r="O880" s="25"/>
      <c r="P880" s="25"/>
      <c r="Q880" s="34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spans="1:27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34"/>
      <c r="O881" s="25"/>
      <c r="P881" s="25"/>
      <c r="Q881" s="34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spans="1:27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34"/>
      <c r="O882" s="25"/>
      <c r="P882" s="25"/>
      <c r="Q882" s="34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spans="1:27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34"/>
      <c r="O883" s="25"/>
      <c r="P883" s="25"/>
      <c r="Q883" s="34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spans="1:27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34"/>
      <c r="O884" s="25"/>
      <c r="P884" s="25"/>
      <c r="Q884" s="34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spans="1:27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34"/>
      <c r="O885" s="25"/>
      <c r="P885" s="25"/>
      <c r="Q885" s="34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spans="1:27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34"/>
      <c r="O886" s="25"/>
      <c r="P886" s="25"/>
      <c r="Q886" s="34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spans="1:2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34"/>
      <c r="O887" s="25"/>
      <c r="P887" s="25"/>
      <c r="Q887" s="34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spans="1:27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34"/>
      <c r="O888" s="25"/>
      <c r="P888" s="25"/>
      <c r="Q888" s="34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spans="1:27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34"/>
      <c r="O889" s="25"/>
      <c r="P889" s="25"/>
      <c r="Q889" s="34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spans="1:27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34"/>
      <c r="O890" s="25"/>
      <c r="P890" s="25"/>
      <c r="Q890" s="34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spans="1:27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34"/>
      <c r="O891" s="25"/>
      <c r="P891" s="25"/>
      <c r="Q891" s="34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spans="1:27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34"/>
      <c r="O892" s="25"/>
      <c r="P892" s="25"/>
      <c r="Q892" s="34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spans="1:27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34"/>
      <c r="O893" s="25"/>
      <c r="P893" s="25"/>
      <c r="Q893" s="34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spans="1:27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34"/>
      <c r="O894" s="25"/>
      <c r="P894" s="25"/>
      <c r="Q894" s="34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spans="1:27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34"/>
      <c r="O895" s="25"/>
      <c r="P895" s="25"/>
      <c r="Q895" s="34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spans="1:27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34"/>
      <c r="O896" s="25"/>
      <c r="P896" s="25"/>
      <c r="Q896" s="34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spans="1:2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34"/>
      <c r="O897" s="25"/>
      <c r="P897" s="25"/>
      <c r="Q897" s="34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spans="1:27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34"/>
      <c r="O898" s="25"/>
      <c r="P898" s="25"/>
      <c r="Q898" s="34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spans="1:27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34"/>
      <c r="O899" s="25"/>
      <c r="P899" s="25"/>
      <c r="Q899" s="34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spans="1:27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34"/>
      <c r="O900" s="25"/>
      <c r="P900" s="25"/>
      <c r="Q900" s="34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spans="1:27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34"/>
      <c r="O901" s="25"/>
      <c r="P901" s="25"/>
      <c r="Q901" s="34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spans="1:27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34"/>
      <c r="O902" s="25"/>
      <c r="P902" s="25"/>
      <c r="Q902" s="34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spans="1:27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34"/>
      <c r="O903" s="25"/>
      <c r="P903" s="25"/>
      <c r="Q903" s="34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spans="1:27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34"/>
      <c r="O904" s="25"/>
      <c r="P904" s="25"/>
      <c r="Q904" s="34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spans="1:27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34"/>
      <c r="O905" s="25"/>
      <c r="P905" s="25"/>
      <c r="Q905" s="34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spans="1:27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34"/>
      <c r="O906" s="25"/>
      <c r="P906" s="25"/>
      <c r="Q906" s="34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spans="1:2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34"/>
      <c r="O907" s="25"/>
      <c r="P907" s="25"/>
      <c r="Q907" s="34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spans="1:27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34"/>
      <c r="O908" s="25"/>
      <c r="P908" s="25"/>
      <c r="Q908" s="34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spans="1:27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34"/>
      <c r="O909" s="25"/>
      <c r="P909" s="25"/>
      <c r="Q909" s="34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spans="1:27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34"/>
      <c r="O910" s="25"/>
      <c r="P910" s="25"/>
      <c r="Q910" s="34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spans="1:27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34"/>
      <c r="O911" s="25"/>
      <c r="P911" s="25"/>
      <c r="Q911" s="34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spans="1:27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34"/>
      <c r="O912" s="25"/>
      <c r="P912" s="25"/>
      <c r="Q912" s="34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spans="1:27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34"/>
      <c r="O913" s="25"/>
      <c r="P913" s="25"/>
      <c r="Q913" s="34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spans="1:27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34"/>
      <c r="O914" s="25"/>
      <c r="P914" s="25"/>
      <c r="Q914" s="34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spans="1:27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34"/>
      <c r="O915" s="25"/>
      <c r="P915" s="25"/>
      <c r="Q915" s="34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spans="1:27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34"/>
      <c r="O916" s="25"/>
      <c r="P916" s="25"/>
      <c r="Q916" s="34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spans="1:2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34"/>
      <c r="O917" s="25"/>
      <c r="P917" s="25"/>
      <c r="Q917" s="34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spans="1:27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34"/>
      <c r="O918" s="25"/>
      <c r="P918" s="25"/>
      <c r="Q918" s="34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spans="1:27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34"/>
      <c r="O919" s="25"/>
      <c r="P919" s="25"/>
      <c r="Q919" s="34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spans="1:27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34"/>
      <c r="O920" s="25"/>
      <c r="P920" s="25"/>
      <c r="Q920" s="34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spans="1:27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34"/>
      <c r="O921" s="25"/>
      <c r="P921" s="25"/>
      <c r="Q921" s="34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spans="1:27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34"/>
      <c r="O922" s="25"/>
      <c r="P922" s="25"/>
      <c r="Q922" s="34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spans="1:27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34"/>
      <c r="O923" s="25"/>
      <c r="P923" s="25"/>
      <c r="Q923" s="34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spans="1:27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34"/>
      <c r="O924" s="25"/>
      <c r="P924" s="25"/>
      <c r="Q924" s="34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spans="1:27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34"/>
      <c r="O925" s="25"/>
      <c r="P925" s="25"/>
      <c r="Q925" s="34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spans="1:27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34"/>
      <c r="O926" s="25"/>
      <c r="P926" s="25"/>
      <c r="Q926" s="34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spans="1: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34"/>
      <c r="O927" s="25"/>
      <c r="P927" s="25"/>
      <c r="Q927" s="34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spans="1:27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34"/>
      <c r="O928" s="25"/>
      <c r="P928" s="25"/>
      <c r="Q928" s="34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spans="1:27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34"/>
      <c r="O929" s="25"/>
      <c r="P929" s="25"/>
      <c r="Q929" s="34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spans="1:27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34"/>
      <c r="O930" s="25"/>
      <c r="P930" s="25"/>
      <c r="Q930" s="34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spans="1:27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34"/>
      <c r="O931" s="25"/>
      <c r="P931" s="25"/>
      <c r="Q931" s="34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spans="1:27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34"/>
      <c r="O932" s="25"/>
      <c r="P932" s="25"/>
      <c r="Q932" s="34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spans="1:27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34"/>
      <c r="O933" s="25"/>
      <c r="P933" s="25"/>
      <c r="Q933" s="34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spans="1:27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34"/>
      <c r="O934" s="25"/>
      <c r="P934" s="25"/>
      <c r="Q934" s="34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spans="1:27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34"/>
      <c r="O935" s="25"/>
      <c r="P935" s="25"/>
      <c r="Q935" s="34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spans="1:27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34"/>
      <c r="O936" s="25"/>
      <c r="P936" s="25"/>
      <c r="Q936" s="34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spans="1:2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34"/>
      <c r="O937" s="25"/>
      <c r="P937" s="25"/>
      <c r="Q937" s="34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spans="1:27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34"/>
      <c r="O938" s="25"/>
      <c r="P938" s="25"/>
      <c r="Q938" s="34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spans="1:27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34"/>
      <c r="O939" s="25"/>
      <c r="P939" s="25"/>
      <c r="Q939" s="34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spans="1:27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34"/>
      <c r="O940" s="25"/>
      <c r="P940" s="25"/>
      <c r="Q940" s="34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spans="1:27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34"/>
      <c r="O941" s="25"/>
      <c r="P941" s="25"/>
      <c r="Q941" s="34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spans="1:27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34"/>
      <c r="O942" s="25"/>
      <c r="P942" s="25"/>
      <c r="Q942" s="34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spans="1:27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34"/>
      <c r="O943" s="25"/>
      <c r="P943" s="25"/>
      <c r="Q943" s="34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spans="1:27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34"/>
      <c r="O944" s="25"/>
      <c r="P944" s="25"/>
      <c r="Q944" s="34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spans="1:27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34"/>
      <c r="O945" s="25"/>
      <c r="P945" s="25"/>
      <c r="Q945" s="34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spans="1:27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34"/>
      <c r="O946" s="25"/>
      <c r="P946" s="25"/>
      <c r="Q946" s="34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spans="1:2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34"/>
      <c r="O947" s="25"/>
      <c r="P947" s="25"/>
      <c r="Q947" s="34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spans="1:27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34"/>
      <c r="O948" s="25"/>
      <c r="P948" s="25"/>
      <c r="Q948" s="34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spans="1:27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34"/>
      <c r="O949" s="25"/>
      <c r="P949" s="25"/>
      <c r="Q949" s="34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spans="1:27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34"/>
      <c r="O950" s="25"/>
      <c r="P950" s="25"/>
      <c r="Q950" s="34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spans="1:27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34"/>
      <c r="O951" s="25"/>
      <c r="P951" s="25"/>
      <c r="Q951" s="34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spans="1:27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34"/>
      <c r="O952" s="25"/>
      <c r="P952" s="25"/>
      <c r="Q952" s="34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spans="1:27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34"/>
      <c r="O953" s="25"/>
      <c r="P953" s="25"/>
      <c r="Q953" s="34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spans="1:27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34"/>
      <c r="O954" s="25"/>
      <c r="P954" s="25"/>
      <c r="Q954" s="34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spans="1:27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34"/>
      <c r="O955" s="25"/>
      <c r="P955" s="25"/>
      <c r="Q955" s="34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spans="1:27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34"/>
      <c r="O956" s="25"/>
      <c r="P956" s="25"/>
      <c r="Q956" s="34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spans="1:2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34"/>
      <c r="O957" s="25"/>
      <c r="P957" s="25"/>
      <c r="Q957" s="34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spans="1:27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34"/>
      <c r="O958" s="25"/>
      <c r="P958" s="25"/>
      <c r="Q958" s="34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spans="1:27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34"/>
      <c r="O959" s="25"/>
      <c r="P959" s="25"/>
      <c r="Q959" s="34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spans="1:27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34"/>
      <c r="O960" s="25"/>
      <c r="P960" s="25"/>
      <c r="Q960" s="34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spans="1:27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34"/>
      <c r="O961" s="25"/>
      <c r="P961" s="25"/>
      <c r="Q961" s="34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spans="1:27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34"/>
      <c r="O962" s="25"/>
      <c r="P962" s="25"/>
      <c r="Q962" s="34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spans="1:27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34"/>
      <c r="O963" s="25"/>
      <c r="P963" s="25"/>
      <c r="Q963" s="34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spans="1:27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34"/>
      <c r="O964" s="25"/>
      <c r="P964" s="25"/>
      <c r="Q964" s="34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spans="1:27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34"/>
      <c r="O965" s="25"/>
      <c r="P965" s="25"/>
      <c r="Q965" s="34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spans="1:27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34"/>
      <c r="O966" s="25"/>
      <c r="P966" s="25"/>
      <c r="Q966" s="34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spans="1:2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34"/>
      <c r="O967" s="25"/>
      <c r="P967" s="25"/>
      <c r="Q967" s="34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spans="1:27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34"/>
      <c r="O968" s="25"/>
      <c r="P968" s="25"/>
      <c r="Q968" s="34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spans="1:27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34"/>
      <c r="O969" s="25"/>
      <c r="P969" s="25"/>
      <c r="Q969" s="34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spans="1:27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34"/>
      <c r="O970" s="25"/>
      <c r="P970" s="25"/>
      <c r="Q970" s="34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spans="1:27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34"/>
      <c r="O971" s="25"/>
      <c r="P971" s="25"/>
      <c r="Q971" s="34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spans="1:27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34"/>
      <c r="O972" s="25"/>
      <c r="P972" s="25"/>
      <c r="Q972" s="34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spans="1:27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34"/>
      <c r="O973" s="25"/>
      <c r="P973" s="25"/>
      <c r="Q973" s="34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spans="1:27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34"/>
      <c r="O974" s="25"/>
      <c r="P974" s="25"/>
      <c r="Q974" s="34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spans="1:27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34"/>
      <c r="O975" s="25"/>
      <c r="P975" s="25"/>
      <c r="Q975" s="34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spans="1:27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34"/>
      <c r="O976" s="25"/>
      <c r="P976" s="25"/>
      <c r="Q976" s="34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spans="1:2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34"/>
      <c r="O977" s="25"/>
      <c r="P977" s="25"/>
      <c r="Q977" s="34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spans="1:27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34"/>
      <c r="O978" s="25"/>
      <c r="P978" s="25"/>
      <c r="Q978" s="34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spans="1:27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34"/>
      <c r="O979" s="25"/>
      <c r="P979" s="25"/>
      <c r="Q979" s="34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spans="1:27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34"/>
      <c r="O980" s="25"/>
      <c r="P980" s="25"/>
      <c r="Q980" s="34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spans="1:27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34"/>
      <c r="O981" s="25"/>
      <c r="P981" s="25"/>
      <c r="Q981" s="34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spans="1:27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34"/>
      <c r="O982" s="25"/>
      <c r="P982" s="25"/>
      <c r="Q982" s="34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spans="1:27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34"/>
      <c r="O983" s="25"/>
      <c r="P983" s="25"/>
      <c r="Q983" s="34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</sheetData>
  <mergeCells count="26">
    <mergeCell ref="A6:V6"/>
    <mergeCell ref="A7:V7"/>
    <mergeCell ref="A8:V8"/>
    <mergeCell ref="C10:M10"/>
    <mergeCell ref="N10:V10"/>
    <mergeCell ref="C11:M11"/>
    <mergeCell ref="Q11:V11"/>
    <mergeCell ref="C12:S12"/>
    <mergeCell ref="C13:P13"/>
    <mergeCell ref="Q13:S13"/>
    <mergeCell ref="V12:V16"/>
    <mergeCell ref="B61:J61"/>
    <mergeCell ref="K61:U61"/>
    <mergeCell ref="N63:Q63"/>
    <mergeCell ref="N64:Q64"/>
    <mergeCell ref="A12:A16"/>
    <mergeCell ref="B12:B16"/>
    <mergeCell ref="T12:T16"/>
    <mergeCell ref="U12:U16"/>
    <mergeCell ref="B59:J60"/>
    <mergeCell ref="K59:U60"/>
    <mergeCell ref="C14:M14"/>
    <mergeCell ref="N14:P14"/>
    <mergeCell ref="Q14:S14"/>
    <mergeCell ref="B58:J58"/>
    <mergeCell ref="K58:U58"/>
  </mergeCells>
  <pageMargins left="0.7" right="1.2" top="0.75" bottom="0.75" header="0" footer="0"/>
  <pageSetup paperSize="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990"/>
  <sheetViews>
    <sheetView tabSelected="1" view="pageBreakPreview" topLeftCell="B1" zoomScaleNormal="100" zoomScaleSheetLayoutView="100" workbookViewId="0">
      <selection activeCell="B13" sqref="B13"/>
    </sheetView>
  </sheetViews>
  <sheetFormatPr defaultColWidth="14.453125" defaultRowHeight="15" customHeight="1"/>
  <cols>
    <col min="1" max="1" width="4.54296875" customWidth="1"/>
    <col min="2" max="2" width="49.81640625" customWidth="1"/>
    <col min="3" max="3" width="5.36328125" customWidth="1"/>
    <col min="4" max="6" width="5.54296875" customWidth="1"/>
    <col min="7" max="7" width="7.36328125" customWidth="1"/>
    <col min="8" max="8" width="5.54296875" customWidth="1"/>
    <col min="9" max="9" width="6.08984375" customWidth="1"/>
    <col min="10" max="10" width="6.453125" customWidth="1"/>
    <col min="11" max="19" width="5.54296875" customWidth="1"/>
    <col min="20" max="20" width="3.08984375" customWidth="1"/>
    <col min="21" max="43" width="8.6328125" customWidth="1"/>
  </cols>
  <sheetData>
    <row r="1" spans="1:43" ht="17.5">
      <c r="A1" s="85"/>
      <c r="B1" s="144" t="s">
        <v>26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ht="14.5">
      <c r="A2" s="85"/>
      <c r="B2" s="146" t="s">
        <v>27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3" ht="17">
      <c r="A3" s="85"/>
      <c r="B3" s="147" t="s">
        <v>28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ht="15.5">
      <c r="A4" s="85"/>
      <c r="B4" s="148" t="s">
        <v>55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14.5">
      <c r="A5" s="85"/>
      <c r="B5" s="149" t="s">
        <v>2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86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3" ht="15.5">
      <c r="A6" s="85"/>
      <c r="B6" s="88" t="s">
        <v>62</v>
      </c>
      <c r="C6" s="89"/>
      <c r="D6" s="90"/>
      <c r="E6" s="90"/>
      <c r="F6" s="90"/>
      <c r="G6" s="89"/>
      <c r="H6" s="90"/>
      <c r="I6" s="90"/>
      <c r="J6" s="91" t="s">
        <v>29</v>
      </c>
      <c r="K6" s="91"/>
      <c r="L6" s="91"/>
      <c r="M6" s="91"/>
      <c r="N6" s="91"/>
      <c r="O6" s="91"/>
      <c r="P6" s="92"/>
      <c r="Q6" s="87" t="s">
        <v>30</v>
      </c>
      <c r="R6" s="93">
        <v>0.6</v>
      </c>
      <c r="S6" s="92"/>
      <c r="T6" s="92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3" ht="15.5">
      <c r="A7" s="85"/>
      <c r="B7" s="88" t="s">
        <v>65</v>
      </c>
      <c r="C7" s="89"/>
      <c r="D7" s="90"/>
      <c r="E7" s="90"/>
      <c r="F7" s="90"/>
      <c r="G7" s="90"/>
      <c r="H7" s="90"/>
      <c r="I7" s="90"/>
      <c r="J7" s="91" t="s">
        <v>31</v>
      </c>
      <c r="K7" s="91"/>
      <c r="L7" s="91"/>
      <c r="M7" s="91"/>
      <c r="N7" s="91"/>
      <c r="O7" s="91"/>
      <c r="P7" s="92"/>
      <c r="Q7" s="87" t="s">
        <v>32</v>
      </c>
      <c r="R7" s="93">
        <v>0.4</v>
      </c>
      <c r="S7" s="92"/>
      <c r="T7" s="92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3" ht="15.5">
      <c r="A8" s="85"/>
      <c r="B8" s="88" t="s">
        <v>66</v>
      </c>
      <c r="C8" s="94"/>
      <c r="D8" s="95"/>
      <c r="E8" s="95"/>
      <c r="F8" s="96"/>
      <c r="G8" s="97"/>
      <c r="H8" s="97"/>
      <c r="I8" s="97"/>
      <c r="J8" s="91" t="s">
        <v>33</v>
      </c>
      <c r="K8" s="91"/>
      <c r="L8" s="91"/>
      <c r="M8" s="91"/>
      <c r="N8" s="91"/>
      <c r="O8" s="91"/>
      <c r="P8" s="92"/>
      <c r="Q8" s="87" t="s">
        <v>34</v>
      </c>
      <c r="R8" s="98" t="s">
        <v>67</v>
      </c>
      <c r="S8" s="92"/>
      <c r="T8" s="92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3" ht="15.5">
      <c r="A9" s="140" t="s">
        <v>35</v>
      </c>
      <c r="B9" s="99"/>
      <c r="C9" s="135" t="s">
        <v>36</v>
      </c>
      <c r="D9" s="136"/>
      <c r="E9" s="136"/>
      <c r="F9" s="137"/>
      <c r="G9" s="135" t="s">
        <v>37</v>
      </c>
      <c r="H9" s="136"/>
      <c r="I9" s="136"/>
      <c r="J9" s="137"/>
      <c r="K9" s="138" t="s">
        <v>38</v>
      </c>
      <c r="L9" s="136"/>
      <c r="M9" s="136"/>
      <c r="N9" s="137"/>
      <c r="O9" s="138" t="s">
        <v>39</v>
      </c>
      <c r="P9" s="136"/>
      <c r="Q9" s="136"/>
      <c r="R9" s="136"/>
      <c r="S9" s="137"/>
      <c r="T9" s="142" t="s">
        <v>7</v>
      </c>
      <c r="U9" s="11"/>
      <c r="V9" s="11"/>
      <c r="W9" s="11"/>
      <c r="X9" s="11"/>
      <c r="Y9" s="11"/>
    </row>
    <row r="10" spans="1:43" ht="15.5">
      <c r="A10" s="141"/>
      <c r="B10" s="100" t="s">
        <v>40</v>
      </c>
      <c r="C10" s="101" t="s">
        <v>41</v>
      </c>
      <c r="D10" s="102" t="s">
        <v>42</v>
      </c>
      <c r="E10" s="102" t="s">
        <v>12</v>
      </c>
      <c r="F10" s="103" t="s">
        <v>43</v>
      </c>
      <c r="G10" s="101" t="s">
        <v>41</v>
      </c>
      <c r="H10" s="102" t="s">
        <v>42</v>
      </c>
      <c r="I10" s="102" t="s">
        <v>12</v>
      </c>
      <c r="J10" s="104" t="s">
        <v>43</v>
      </c>
      <c r="K10" s="101" t="s">
        <v>41</v>
      </c>
      <c r="L10" s="102" t="s">
        <v>42</v>
      </c>
      <c r="M10" s="102" t="s">
        <v>12</v>
      </c>
      <c r="N10" s="104" t="s">
        <v>43</v>
      </c>
      <c r="O10" s="101" t="s">
        <v>41</v>
      </c>
      <c r="P10" s="102" t="s">
        <v>42</v>
      </c>
      <c r="Q10" s="105" t="s">
        <v>12</v>
      </c>
      <c r="R10" s="105" t="s">
        <v>43</v>
      </c>
      <c r="S10" s="104" t="s">
        <v>44</v>
      </c>
      <c r="T10" s="14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s="46" customFormat="1" ht="15.5">
      <c r="A11" s="106">
        <f>prelim!A17</f>
        <v>0</v>
      </c>
      <c r="B11" s="43">
        <f>prelim!B17</f>
        <v>0</v>
      </c>
      <c r="C11" s="107">
        <f>IFERROR((((prelim!O17))),"")</f>
        <v>0</v>
      </c>
      <c r="D11" s="107" t="str">
        <f>IFERROR((((prelim!R17))),"")</f>
        <v xml:space="preserve"> </v>
      </c>
      <c r="E11" s="108" t="str">
        <f t="shared" ref="E11:E50" si="0">IFERROR((((D11+C11))),"")</f>
        <v/>
      </c>
      <c r="F11" s="109" t="str">
        <f t="shared" ref="F11:F50" si="1">IFERROR((ROUND(E11,0)),"")</f>
        <v/>
      </c>
      <c r="G11" s="107">
        <f>IFERROR((((midterm!O17))),"")</f>
        <v>0</v>
      </c>
      <c r="H11" s="107" t="str">
        <f>IFERROR((((midterm!R17))),"")</f>
        <v xml:space="preserve"> </v>
      </c>
      <c r="I11" s="108" t="str">
        <f t="shared" ref="I11:I50" si="2">IFERROR((((H11+G11))),"")</f>
        <v/>
      </c>
      <c r="J11" s="109" t="str">
        <f t="shared" ref="J11:J50" si="3">IFERROR((ROUND(I11,0)),"")</f>
        <v/>
      </c>
      <c r="K11" s="110">
        <f>IFERROR(((('semi-final'!O17))),"")</f>
        <v>0</v>
      </c>
      <c r="L11" s="110" t="str">
        <f>'semi-final'!R17</f>
        <v xml:space="preserve"> </v>
      </c>
      <c r="M11" s="110" t="str">
        <f t="shared" ref="M11:M50" si="4">IFERROR((((K11+L11))),"")</f>
        <v/>
      </c>
      <c r="N11" s="110" t="str">
        <f t="shared" ref="N11:N50" si="5">IFERROR((ROUND(M11,0)),"")</f>
        <v/>
      </c>
      <c r="O11" s="107" t="str">
        <f>IFERROR((((finals!M17+finals!P17))),"")</f>
        <v/>
      </c>
      <c r="P11" s="107" t="str">
        <f>IFERROR((((finals!S17))),"")</f>
        <v xml:space="preserve"> </v>
      </c>
      <c r="Q11" s="108" t="str">
        <f t="shared" ref="Q11:Q50" si="6">IFERROR((((P11+O11))),"")</f>
        <v/>
      </c>
      <c r="R11" s="109" t="str">
        <f t="shared" ref="R11:R50" si="7">IFERROR((ROUND(Q11,0)),"")</f>
        <v/>
      </c>
      <c r="S11" s="111" t="str">
        <f t="shared" ref="S11:S50" si="8">IFERROR(((ROUND(((F11+R11+J11+N11)/4),0))),"")</f>
        <v/>
      </c>
      <c r="T11" s="112" t="str">
        <f t="shared" ref="T11:T50" si="9">IF(S11&lt;=74,"F","P")</f>
        <v>P</v>
      </c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</row>
    <row r="12" spans="1:43" ht="15.5">
      <c r="A12" s="106">
        <f>prelim!A18</f>
        <v>0</v>
      </c>
      <c r="B12" s="43">
        <f>prelim!B18</f>
        <v>0</v>
      </c>
      <c r="C12" s="107">
        <f>IFERROR((((prelim!O18))),"")</f>
        <v>0</v>
      </c>
      <c r="D12" s="107" t="str">
        <f>IFERROR((((prelim!R18))),"")</f>
        <v xml:space="preserve"> </v>
      </c>
      <c r="E12" s="108" t="str">
        <f t="shared" si="0"/>
        <v/>
      </c>
      <c r="F12" s="109" t="str">
        <f t="shared" si="1"/>
        <v/>
      </c>
      <c r="G12" s="107">
        <f>IFERROR((((midterm!O18))),"")</f>
        <v>0</v>
      </c>
      <c r="H12" s="107" t="str">
        <f>IFERROR((((midterm!R18))),"")</f>
        <v xml:space="preserve"> </v>
      </c>
      <c r="I12" s="108" t="str">
        <f t="shared" si="2"/>
        <v/>
      </c>
      <c r="J12" s="109" t="str">
        <f t="shared" si="3"/>
        <v/>
      </c>
      <c r="K12" s="110">
        <f>IFERROR(((('semi-final'!O18))),"")</f>
        <v>0</v>
      </c>
      <c r="L12" s="110" t="str">
        <f>'semi-final'!R18</f>
        <v xml:space="preserve"> </v>
      </c>
      <c r="M12" s="110" t="str">
        <f t="shared" si="4"/>
        <v/>
      </c>
      <c r="N12" s="110" t="str">
        <f t="shared" si="5"/>
        <v/>
      </c>
      <c r="O12" s="107" t="str">
        <f>IFERROR((((finals!M18+finals!P18))),"")</f>
        <v/>
      </c>
      <c r="P12" s="107" t="str">
        <f>IFERROR((((finals!S18))),"")</f>
        <v xml:space="preserve"> </v>
      </c>
      <c r="Q12" s="108" t="str">
        <f t="shared" si="6"/>
        <v/>
      </c>
      <c r="R12" s="109" t="str">
        <f t="shared" si="7"/>
        <v/>
      </c>
      <c r="S12" s="111" t="str">
        <f t="shared" si="8"/>
        <v/>
      </c>
      <c r="T12" s="112" t="str">
        <f t="shared" si="9"/>
        <v>P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s="46" customFormat="1" ht="15.5">
      <c r="A13" s="106">
        <f>prelim!A19</f>
        <v>0</v>
      </c>
      <c r="B13" s="43">
        <f>prelim!B19</f>
        <v>0</v>
      </c>
      <c r="C13" s="107">
        <f>IFERROR((((prelim!O19))),"")</f>
        <v>0</v>
      </c>
      <c r="D13" s="107" t="str">
        <f>IFERROR((((prelim!R19))),"")</f>
        <v xml:space="preserve"> </v>
      </c>
      <c r="E13" s="108" t="str">
        <f t="shared" si="0"/>
        <v/>
      </c>
      <c r="F13" s="109" t="str">
        <f t="shared" si="1"/>
        <v/>
      </c>
      <c r="G13" s="107">
        <f>IFERROR((((midterm!O19))),"")</f>
        <v>0</v>
      </c>
      <c r="H13" s="107" t="str">
        <f>IFERROR((((midterm!R19))),"")</f>
        <v xml:space="preserve"> </v>
      </c>
      <c r="I13" s="108" t="str">
        <f t="shared" si="2"/>
        <v/>
      </c>
      <c r="J13" s="109" t="str">
        <f t="shared" si="3"/>
        <v/>
      </c>
      <c r="K13" s="110">
        <f>IFERROR(((('semi-final'!O19))),"")</f>
        <v>0</v>
      </c>
      <c r="L13" s="110" t="str">
        <f>'semi-final'!R19</f>
        <v xml:space="preserve"> </v>
      </c>
      <c r="M13" s="110" t="str">
        <f t="shared" si="4"/>
        <v/>
      </c>
      <c r="N13" s="110" t="str">
        <f t="shared" si="5"/>
        <v/>
      </c>
      <c r="O13" s="107" t="str">
        <f>IFERROR((((finals!M19+finals!P19))),"")</f>
        <v/>
      </c>
      <c r="P13" s="107" t="str">
        <f>IFERROR((((finals!S19))),"")</f>
        <v xml:space="preserve"> </v>
      </c>
      <c r="Q13" s="108" t="str">
        <f t="shared" si="6"/>
        <v/>
      </c>
      <c r="R13" s="109" t="str">
        <f t="shared" si="7"/>
        <v/>
      </c>
      <c r="S13" s="111" t="str">
        <f t="shared" si="8"/>
        <v/>
      </c>
      <c r="T13" s="112" t="str">
        <f t="shared" si="9"/>
        <v>P</v>
      </c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</row>
    <row r="14" spans="1:43" ht="15.5">
      <c r="A14" s="106">
        <f>prelim!A20</f>
        <v>0</v>
      </c>
      <c r="B14" s="43">
        <f>prelim!B20</f>
        <v>0</v>
      </c>
      <c r="C14" s="107">
        <f>IFERROR((((prelim!O20))),"")</f>
        <v>0</v>
      </c>
      <c r="D14" s="107" t="str">
        <f>IFERROR((((prelim!R20))),"")</f>
        <v xml:space="preserve"> </v>
      </c>
      <c r="E14" s="108" t="str">
        <f t="shared" si="0"/>
        <v/>
      </c>
      <c r="F14" s="109" t="str">
        <f t="shared" si="1"/>
        <v/>
      </c>
      <c r="G14" s="107">
        <f>IFERROR((((midterm!O20))),"")</f>
        <v>0</v>
      </c>
      <c r="H14" s="107" t="str">
        <f>IFERROR((((midterm!R20))),"")</f>
        <v xml:space="preserve"> </v>
      </c>
      <c r="I14" s="108" t="str">
        <f t="shared" si="2"/>
        <v/>
      </c>
      <c r="J14" s="109" t="str">
        <f t="shared" si="3"/>
        <v/>
      </c>
      <c r="K14" s="110">
        <f>IFERROR(((('semi-final'!O20))),"")</f>
        <v>0</v>
      </c>
      <c r="L14" s="110" t="str">
        <f>'semi-final'!R20</f>
        <v xml:space="preserve"> </v>
      </c>
      <c r="M14" s="110" t="str">
        <f t="shared" si="4"/>
        <v/>
      </c>
      <c r="N14" s="110" t="str">
        <f t="shared" si="5"/>
        <v/>
      </c>
      <c r="O14" s="107" t="str">
        <f>IFERROR((((finals!M20+finals!P20))),"")</f>
        <v/>
      </c>
      <c r="P14" s="107" t="str">
        <f>IFERROR((((finals!S20))),"")</f>
        <v xml:space="preserve"> </v>
      </c>
      <c r="Q14" s="108" t="str">
        <f t="shared" si="6"/>
        <v/>
      </c>
      <c r="R14" s="109" t="str">
        <f t="shared" si="7"/>
        <v/>
      </c>
      <c r="S14" s="111" t="str">
        <f t="shared" si="8"/>
        <v/>
      </c>
      <c r="T14" s="112" t="str">
        <f t="shared" si="9"/>
        <v>P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15.5">
      <c r="A15" s="106">
        <f>prelim!A21</f>
        <v>0</v>
      </c>
      <c r="B15" s="43">
        <f>prelim!B21</f>
        <v>0</v>
      </c>
      <c r="C15" s="107">
        <f>IFERROR((((prelim!O21))),"")</f>
        <v>0</v>
      </c>
      <c r="D15" s="107" t="str">
        <f>IFERROR((((prelim!R21))),"")</f>
        <v xml:space="preserve"> </v>
      </c>
      <c r="E15" s="108" t="str">
        <f t="shared" si="0"/>
        <v/>
      </c>
      <c r="F15" s="109" t="str">
        <f t="shared" si="1"/>
        <v/>
      </c>
      <c r="G15" s="107">
        <f>IFERROR((((midterm!O21))),"")</f>
        <v>0</v>
      </c>
      <c r="H15" s="107" t="str">
        <f>IFERROR((((midterm!R21))),"")</f>
        <v xml:space="preserve"> </v>
      </c>
      <c r="I15" s="108" t="str">
        <f t="shared" si="2"/>
        <v/>
      </c>
      <c r="J15" s="109" t="str">
        <f t="shared" si="3"/>
        <v/>
      </c>
      <c r="K15" s="110">
        <f>IFERROR(((('semi-final'!O21))),"")</f>
        <v>0</v>
      </c>
      <c r="L15" s="110" t="str">
        <f>'semi-final'!R21</f>
        <v xml:space="preserve"> </v>
      </c>
      <c r="M15" s="110" t="str">
        <f t="shared" si="4"/>
        <v/>
      </c>
      <c r="N15" s="110" t="str">
        <f t="shared" si="5"/>
        <v/>
      </c>
      <c r="O15" s="107" t="str">
        <f>IFERROR((((finals!M21+finals!P21))),"")</f>
        <v/>
      </c>
      <c r="P15" s="107" t="str">
        <f>IFERROR((((finals!S21))),"")</f>
        <v xml:space="preserve"> </v>
      </c>
      <c r="Q15" s="108" t="str">
        <f t="shared" si="6"/>
        <v/>
      </c>
      <c r="R15" s="109" t="str">
        <f t="shared" si="7"/>
        <v/>
      </c>
      <c r="S15" s="111" t="str">
        <f t="shared" si="8"/>
        <v/>
      </c>
      <c r="T15" s="112" t="str">
        <f t="shared" si="9"/>
        <v>P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15.5">
      <c r="A16" s="106">
        <f>prelim!A22</f>
        <v>0</v>
      </c>
      <c r="B16" s="43">
        <f>prelim!B22</f>
        <v>0</v>
      </c>
      <c r="C16" s="107">
        <f>IFERROR((((prelim!O22))),"")</f>
        <v>0</v>
      </c>
      <c r="D16" s="107" t="str">
        <f>IFERROR((((prelim!R22))),"")</f>
        <v xml:space="preserve"> </v>
      </c>
      <c r="E16" s="108" t="str">
        <f t="shared" si="0"/>
        <v/>
      </c>
      <c r="F16" s="109" t="str">
        <f t="shared" si="1"/>
        <v/>
      </c>
      <c r="G16" s="107">
        <f>IFERROR((((midterm!O22))),"")</f>
        <v>0</v>
      </c>
      <c r="H16" s="107" t="str">
        <f>IFERROR((((midterm!R22))),"")</f>
        <v xml:space="preserve"> </v>
      </c>
      <c r="I16" s="108" t="str">
        <f t="shared" si="2"/>
        <v/>
      </c>
      <c r="J16" s="109" t="str">
        <f t="shared" si="3"/>
        <v/>
      </c>
      <c r="K16" s="110">
        <f>IFERROR(((('semi-final'!O22))),"")</f>
        <v>0</v>
      </c>
      <c r="L16" s="110" t="str">
        <f>'semi-final'!R22</f>
        <v xml:space="preserve"> </v>
      </c>
      <c r="M16" s="110" t="str">
        <f t="shared" si="4"/>
        <v/>
      </c>
      <c r="N16" s="110" t="str">
        <f t="shared" si="5"/>
        <v/>
      </c>
      <c r="O16" s="107" t="str">
        <f>IFERROR((((finals!M22+finals!P22))),"")</f>
        <v/>
      </c>
      <c r="P16" s="107" t="str">
        <f>IFERROR((((finals!S22))),"")</f>
        <v xml:space="preserve"> </v>
      </c>
      <c r="Q16" s="108" t="str">
        <f t="shared" si="6"/>
        <v/>
      </c>
      <c r="R16" s="109" t="str">
        <f t="shared" si="7"/>
        <v/>
      </c>
      <c r="S16" s="111" t="str">
        <f t="shared" si="8"/>
        <v/>
      </c>
      <c r="T16" s="112" t="str">
        <f t="shared" si="9"/>
        <v>P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15.5">
      <c r="A17" s="106">
        <f>prelim!A23</f>
        <v>0</v>
      </c>
      <c r="B17" s="43">
        <f>prelim!B23</f>
        <v>0</v>
      </c>
      <c r="C17" s="107">
        <f>IFERROR((((prelim!O23))),"")</f>
        <v>0</v>
      </c>
      <c r="D17" s="107" t="str">
        <f>IFERROR((((prelim!R23))),"")</f>
        <v xml:space="preserve"> </v>
      </c>
      <c r="E17" s="108" t="str">
        <f t="shared" si="0"/>
        <v/>
      </c>
      <c r="F17" s="109" t="str">
        <f t="shared" si="1"/>
        <v/>
      </c>
      <c r="G17" s="107">
        <f>IFERROR((((midterm!O23))),"")</f>
        <v>0</v>
      </c>
      <c r="H17" s="107" t="str">
        <f>IFERROR((((midterm!R23))),"")</f>
        <v xml:space="preserve"> </v>
      </c>
      <c r="I17" s="108" t="str">
        <f t="shared" si="2"/>
        <v/>
      </c>
      <c r="J17" s="109" t="str">
        <f t="shared" si="3"/>
        <v/>
      </c>
      <c r="K17" s="110">
        <f>IFERROR(((('semi-final'!O23))),"")</f>
        <v>0</v>
      </c>
      <c r="L17" s="110" t="str">
        <f>'semi-final'!R23</f>
        <v xml:space="preserve"> </v>
      </c>
      <c r="M17" s="110" t="str">
        <f t="shared" si="4"/>
        <v/>
      </c>
      <c r="N17" s="110" t="str">
        <f t="shared" si="5"/>
        <v/>
      </c>
      <c r="O17" s="107" t="str">
        <f>IFERROR((((finals!M23+finals!P23))),"")</f>
        <v/>
      </c>
      <c r="P17" s="107" t="str">
        <f>IFERROR((((finals!S23))),"")</f>
        <v xml:space="preserve"> </v>
      </c>
      <c r="Q17" s="108" t="str">
        <f t="shared" si="6"/>
        <v/>
      </c>
      <c r="R17" s="109" t="str">
        <f t="shared" si="7"/>
        <v/>
      </c>
      <c r="S17" s="111" t="str">
        <f t="shared" si="8"/>
        <v/>
      </c>
      <c r="T17" s="112" t="str">
        <f t="shared" si="9"/>
        <v>P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15.5">
      <c r="A18" s="106">
        <f>prelim!A24</f>
        <v>0</v>
      </c>
      <c r="B18" s="43">
        <f>prelim!B24</f>
        <v>0</v>
      </c>
      <c r="C18" s="107">
        <f>IFERROR((((prelim!O24))),"")</f>
        <v>0</v>
      </c>
      <c r="D18" s="107" t="str">
        <f>IFERROR((((prelim!R24))),"")</f>
        <v xml:space="preserve"> </v>
      </c>
      <c r="E18" s="108" t="str">
        <f t="shared" si="0"/>
        <v/>
      </c>
      <c r="F18" s="109" t="str">
        <f t="shared" si="1"/>
        <v/>
      </c>
      <c r="G18" s="107">
        <f>IFERROR((((midterm!O24))),"")</f>
        <v>0</v>
      </c>
      <c r="H18" s="107" t="str">
        <f>IFERROR((((midterm!R24))),"")</f>
        <v xml:space="preserve"> </v>
      </c>
      <c r="I18" s="108" t="str">
        <f t="shared" si="2"/>
        <v/>
      </c>
      <c r="J18" s="109" t="str">
        <f t="shared" si="3"/>
        <v/>
      </c>
      <c r="K18" s="110">
        <f>IFERROR(((('semi-final'!O24))),"")</f>
        <v>0</v>
      </c>
      <c r="L18" s="110" t="str">
        <f>'semi-final'!R24</f>
        <v xml:space="preserve"> </v>
      </c>
      <c r="M18" s="110" t="str">
        <f t="shared" si="4"/>
        <v/>
      </c>
      <c r="N18" s="110" t="str">
        <f t="shared" si="5"/>
        <v/>
      </c>
      <c r="O18" s="107" t="str">
        <f>IFERROR((((finals!M24+finals!P24))),"")</f>
        <v/>
      </c>
      <c r="P18" s="107" t="str">
        <f>IFERROR((((finals!S24))),"")</f>
        <v xml:space="preserve"> </v>
      </c>
      <c r="Q18" s="108" t="str">
        <f t="shared" si="6"/>
        <v/>
      </c>
      <c r="R18" s="109" t="str">
        <f t="shared" si="7"/>
        <v/>
      </c>
      <c r="S18" s="111" t="str">
        <f t="shared" si="8"/>
        <v/>
      </c>
      <c r="T18" s="112" t="str">
        <f t="shared" si="9"/>
        <v>P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s="46" customFormat="1" ht="15.5">
      <c r="A19" s="106">
        <f>prelim!A25</f>
        <v>0</v>
      </c>
      <c r="B19" s="43">
        <f>prelim!B25</f>
        <v>0</v>
      </c>
      <c r="C19" s="107">
        <f>IFERROR((((prelim!O25))),"")</f>
        <v>0</v>
      </c>
      <c r="D19" s="107" t="str">
        <f>IFERROR((((prelim!R25))),"")</f>
        <v xml:space="preserve"> </v>
      </c>
      <c r="E19" s="108" t="str">
        <f t="shared" si="0"/>
        <v/>
      </c>
      <c r="F19" s="109" t="str">
        <f t="shared" si="1"/>
        <v/>
      </c>
      <c r="G19" s="107">
        <f>IFERROR((((midterm!O25))),"")</f>
        <v>0</v>
      </c>
      <c r="H19" s="107" t="str">
        <f>IFERROR((((midterm!R25))),"")</f>
        <v xml:space="preserve"> </v>
      </c>
      <c r="I19" s="108" t="str">
        <f t="shared" si="2"/>
        <v/>
      </c>
      <c r="J19" s="109" t="str">
        <f t="shared" si="3"/>
        <v/>
      </c>
      <c r="K19" s="110">
        <f>IFERROR(((('semi-final'!O25))),"")</f>
        <v>0</v>
      </c>
      <c r="L19" s="110" t="str">
        <f>'semi-final'!R25</f>
        <v xml:space="preserve"> </v>
      </c>
      <c r="M19" s="110" t="str">
        <f t="shared" si="4"/>
        <v/>
      </c>
      <c r="N19" s="110" t="str">
        <f t="shared" si="5"/>
        <v/>
      </c>
      <c r="O19" s="107" t="str">
        <f>IFERROR((((finals!M25+finals!P25))),"")</f>
        <v/>
      </c>
      <c r="P19" s="107" t="str">
        <f>IFERROR((((finals!S25))),"")</f>
        <v xml:space="preserve"> </v>
      </c>
      <c r="Q19" s="108" t="str">
        <f t="shared" si="6"/>
        <v/>
      </c>
      <c r="R19" s="109" t="str">
        <f t="shared" si="7"/>
        <v/>
      </c>
      <c r="S19" s="111" t="str">
        <f t="shared" si="8"/>
        <v/>
      </c>
      <c r="T19" s="112" t="str">
        <f t="shared" si="9"/>
        <v>P</v>
      </c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</row>
    <row r="20" spans="1:43" ht="15.5">
      <c r="A20" s="106">
        <f>prelim!A26</f>
        <v>0</v>
      </c>
      <c r="B20" s="43">
        <f>prelim!B26</f>
        <v>0</v>
      </c>
      <c r="C20" s="107">
        <f>IFERROR((((prelim!O26))),"")</f>
        <v>0</v>
      </c>
      <c r="D20" s="107" t="str">
        <f>IFERROR((((prelim!R26))),"")</f>
        <v xml:space="preserve"> </v>
      </c>
      <c r="E20" s="108" t="str">
        <f t="shared" si="0"/>
        <v/>
      </c>
      <c r="F20" s="109" t="str">
        <f t="shared" si="1"/>
        <v/>
      </c>
      <c r="G20" s="107">
        <f>IFERROR((((midterm!O26))),"")</f>
        <v>0</v>
      </c>
      <c r="H20" s="107" t="str">
        <f>IFERROR((((midterm!R26))),"")</f>
        <v xml:space="preserve"> </v>
      </c>
      <c r="I20" s="108" t="str">
        <f t="shared" si="2"/>
        <v/>
      </c>
      <c r="J20" s="109" t="str">
        <f t="shared" si="3"/>
        <v/>
      </c>
      <c r="K20" s="110">
        <f>IFERROR(((('semi-final'!O26))),"")</f>
        <v>0</v>
      </c>
      <c r="L20" s="110" t="str">
        <f>'semi-final'!R26</f>
        <v xml:space="preserve"> </v>
      </c>
      <c r="M20" s="110" t="str">
        <f t="shared" si="4"/>
        <v/>
      </c>
      <c r="N20" s="110" t="str">
        <f t="shared" si="5"/>
        <v/>
      </c>
      <c r="O20" s="107" t="str">
        <f>IFERROR((((finals!M26+finals!P26))),"")</f>
        <v/>
      </c>
      <c r="P20" s="107" t="str">
        <f>IFERROR((((finals!S26))),"")</f>
        <v xml:space="preserve"> </v>
      </c>
      <c r="Q20" s="108" t="str">
        <f t="shared" si="6"/>
        <v/>
      </c>
      <c r="R20" s="109" t="str">
        <f t="shared" si="7"/>
        <v/>
      </c>
      <c r="S20" s="111" t="str">
        <f t="shared" si="8"/>
        <v/>
      </c>
      <c r="T20" s="112" t="str">
        <f t="shared" si="9"/>
        <v>P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s="46" customFormat="1" ht="15.75" customHeight="1">
      <c r="A21" s="106">
        <f>prelim!A27</f>
        <v>0</v>
      </c>
      <c r="B21" s="43">
        <f>prelim!B27</f>
        <v>0</v>
      </c>
      <c r="C21" s="107">
        <f>IFERROR((((prelim!O27))),"")</f>
        <v>0</v>
      </c>
      <c r="D21" s="107" t="str">
        <f>IFERROR((((prelim!R27))),"")</f>
        <v xml:space="preserve"> </v>
      </c>
      <c r="E21" s="108" t="str">
        <f t="shared" si="0"/>
        <v/>
      </c>
      <c r="F21" s="109" t="str">
        <f t="shared" si="1"/>
        <v/>
      </c>
      <c r="G21" s="107">
        <f>IFERROR((((midterm!O27))),"")</f>
        <v>0</v>
      </c>
      <c r="H21" s="107" t="str">
        <f>IFERROR((((midterm!R27))),"")</f>
        <v xml:space="preserve"> </v>
      </c>
      <c r="I21" s="108" t="str">
        <f t="shared" si="2"/>
        <v/>
      </c>
      <c r="J21" s="109" t="str">
        <f t="shared" si="3"/>
        <v/>
      </c>
      <c r="K21" s="110">
        <f>IFERROR(((('semi-final'!O27))),"")</f>
        <v>0</v>
      </c>
      <c r="L21" s="110" t="str">
        <f>'semi-final'!R27</f>
        <v xml:space="preserve"> </v>
      </c>
      <c r="M21" s="110" t="str">
        <f t="shared" si="4"/>
        <v/>
      </c>
      <c r="N21" s="110" t="str">
        <f t="shared" si="5"/>
        <v/>
      </c>
      <c r="O21" s="107" t="str">
        <f>IFERROR((((finals!M27+finals!P27))),"")</f>
        <v/>
      </c>
      <c r="P21" s="107" t="str">
        <f>IFERROR((((finals!S27))),"")</f>
        <v xml:space="preserve"> </v>
      </c>
      <c r="Q21" s="108" t="str">
        <f t="shared" si="6"/>
        <v/>
      </c>
      <c r="R21" s="109" t="str">
        <f t="shared" si="7"/>
        <v/>
      </c>
      <c r="S21" s="111" t="str">
        <f t="shared" si="8"/>
        <v/>
      </c>
      <c r="T21" s="112" t="str">
        <f t="shared" si="9"/>
        <v>P</v>
      </c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</row>
    <row r="22" spans="1:43" ht="15.75" customHeight="1">
      <c r="A22" s="106">
        <f>prelim!A28</f>
        <v>0</v>
      </c>
      <c r="B22" s="43">
        <f>prelim!B28</f>
        <v>0</v>
      </c>
      <c r="C22" s="107">
        <f>IFERROR((((prelim!O28))),"")</f>
        <v>0</v>
      </c>
      <c r="D22" s="107" t="str">
        <f>IFERROR((((prelim!R28))),"")</f>
        <v xml:space="preserve"> </v>
      </c>
      <c r="E22" s="108" t="str">
        <f t="shared" si="0"/>
        <v/>
      </c>
      <c r="F22" s="109" t="str">
        <f t="shared" si="1"/>
        <v/>
      </c>
      <c r="G22" s="107">
        <f>IFERROR((((midterm!O28))),"")</f>
        <v>0</v>
      </c>
      <c r="H22" s="107" t="str">
        <f>IFERROR((((midterm!R28))),"")</f>
        <v xml:space="preserve"> </v>
      </c>
      <c r="I22" s="108" t="str">
        <f t="shared" si="2"/>
        <v/>
      </c>
      <c r="J22" s="109" t="str">
        <f t="shared" si="3"/>
        <v/>
      </c>
      <c r="K22" s="110">
        <f>IFERROR(((('semi-final'!O28))),"")</f>
        <v>0</v>
      </c>
      <c r="L22" s="110" t="str">
        <f>'semi-final'!R28</f>
        <v xml:space="preserve"> </v>
      </c>
      <c r="M22" s="110" t="str">
        <f t="shared" si="4"/>
        <v/>
      </c>
      <c r="N22" s="110" t="str">
        <f t="shared" si="5"/>
        <v/>
      </c>
      <c r="O22" s="107" t="str">
        <f>IFERROR((((finals!M28+finals!P28))),"")</f>
        <v/>
      </c>
      <c r="P22" s="107" t="str">
        <f>IFERROR((((finals!S28))),"")</f>
        <v xml:space="preserve"> </v>
      </c>
      <c r="Q22" s="108" t="str">
        <f t="shared" si="6"/>
        <v/>
      </c>
      <c r="R22" s="109" t="str">
        <f t="shared" si="7"/>
        <v/>
      </c>
      <c r="S22" s="111" t="str">
        <f t="shared" si="8"/>
        <v/>
      </c>
      <c r="T22" s="112" t="str">
        <f t="shared" si="9"/>
        <v>P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s="46" customFormat="1" ht="15.75" customHeight="1">
      <c r="A23" s="106">
        <f>prelim!A29</f>
        <v>0</v>
      </c>
      <c r="B23" s="43">
        <f>prelim!B29</f>
        <v>0</v>
      </c>
      <c r="C23" s="107">
        <f>IFERROR((((prelim!O29))),"")</f>
        <v>0</v>
      </c>
      <c r="D23" s="107" t="str">
        <f>IFERROR((((prelim!R29))),"")</f>
        <v xml:space="preserve"> </v>
      </c>
      <c r="E23" s="108" t="str">
        <f t="shared" si="0"/>
        <v/>
      </c>
      <c r="F23" s="109" t="str">
        <f t="shared" si="1"/>
        <v/>
      </c>
      <c r="G23" s="107">
        <f>IFERROR((((midterm!O29))),"")</f>
        <v>0</v>
      </c>
      <c r="H23" s="107" t="str">
        <f>IFERROR((((midterm!R29))),"")</f>
        <v xml:space="preserve"> </v>
      </c>
      <c r="I23" s="108" t="str">
        <f t="shared" si="2"/>
        <v/>
      </c>
      <c r="J23" s="109" t="str">
        <f t="shared" si="3"/>
        <v/>
      </c>
      <c r="K23" s="110">
        <f>IFERROR(((('semi-final'!O29))),"")</f>
        <v>0</v>
      </c>
      <c r="L23" s="110" t="str">
        <f>'semi-final'!R29</f>
        <v xml:space="preserve"> </v>
      </c>
      <c r="M23" s="110" t="str">
        <f t="shared" si="4"/>
        <v/>
      </c>
      <c r="N23" s="110" t="str">
        <f t="shared" si="5"/>
        <v/>
      </c>
      <c r="O23" s="107" t="str">
        <f>IFERROR((((finals!M29+finals!P29))),"")</f>
        <v/>
      </c>
      <c r="P23" s="107" t="str">
        <f>IFERROR((((finals!S29))),"")</f>
        <v xml:space="preserve"> </v>
      </c>
      <c r="Q23" s="108" t="str">
        <f t="shared" si="6"/>
        <v/>
      </c>
      <c r="R23" s="109" t="str">
        <f t="shared" si="7"/>
        <v/>
      </c>
      <c r="S23" s="111" t="str">
        <f t="shared" si="8"/>
        <v/>
      </c>
      <c r="T23" s="112" t="str">
        <f t="shared" si="9"/>
        <v>P</v>
      </c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</row>
    <row r="24" spans="1:43" s="46" customFormat="1" ht="15.75" customHeight="1">
      <c r="A24" s="106">
        <f>prelim!A30</f>
        <v>0</v>
      </c>
      <c r="B24" s="43">
        <f>prelim!B30</f>
        <v>0</v>
      </c>
      <c r="C24" s="107">
        <f>IFERROR((((prelim!O30))),"")</f>
        <v>0</v>
      </c>
      <c r="D24" s="107" t="str">
        <f>IFERROR((((prelim!R30))),"")</f>
        <v xml:space="preserve"> </v>
      </c>
      <c r="E24" s="108" t="str">
        <f t="shared" si="0"/>
        <v/>
      </c>
      <c r="F24" s="109" t="str">
        <f t="shared" si="1"/>
        <v/>
      </c>
      <c r="G24" s="107">
        <f>IFERROR((((midterm!O30))),"")</f>
        <v>0</v>
      </c>
      <c r="H24" s="107" t="str">
        <f>IFERROR((((midterm!R30))),"")</f>
        <v xml:space="preserve"> </v>
      </c>
      <c r="I24" s="108" t="str">
        <f t="shared" si="2"/>
        <v/>
      </c>
      <c r="J24" s="109" t="str">
        <f t="shared" si="3"/>
        <v/>
      </c>
      <c r="K24" s="110">
        <f>IFERROR(((('semi-final'!O30))),"")</f>
        <v>0</v>
      </c>
      <c r="L24" s="110" t="str">
        <f>'semi-final'!R30</f>
        <v xml:space="preserve"> </v>
      </c>
      <c r="M24" s="110" t="str">
        <f t="shared" si="4"/>
        <v/>
      </c>
      <c r="N24" s="110" t="str">
        <f t="shared" si="5"/>
        <v/>
      </c>
      <c r="O24" s="107" t="str">
        <f>IFERROR((((finals!M30+finals!P30))),"")</f>
        <v/>
      </c>
      <c r="P24" s="107" t="str">
        <f>IFERROR((((finals!S30))),"")</f>
        <v xml:space="preserve"> </v>
      </c>
      <c r="Q24" s="108" t="str">
        <f t="shared" si="6"/>
        <v/>
      </c>
      <c r="R24" s="109" t="str">
        <f t="shared" si="7"/>
        <v/>
      </c>
      <c r="S24" s="111" t="str">
        <f t="shared" si="8"/>
        <v/>
      </c>
      <c r="T24" s="112" t="str">
        <f t="shared" si="9"/>
        <v>P</v>
      </c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</row>
    <row r="25" spans="1:43" ht="15.75" customHeight="1">
      <c r="A25" s="106">
        <f>prelim!A31</f>
        <v>0</v>
      </c>
      <c r="B25" s="43">
        <f>prelim!B31</f>
        <v>0</v>
      </c>
      <c r="C25" s="107">
        <f>IFERROR((((prelim!O31))),"")</f>
        <v>0</v>
      </c>
      <c r="D25" s="107" t="str">
        <f>IFERROR((((prelim!R31))),"")</f>
        <v xml:space="preserve"> </v>
      </c>
      <c r="E25" s="108" t="str">
        <f t="shared" si="0"/>
        <v/>
      </c>
      <c r="F25" s="109" t="str">
        <f t="shared" si="1"/>
        <v/>
      </c>
      <c r="G25" s="107">
        <f>IFERROR((((midterm!O31))),"")</f>
        <v>0</v>
      </c>
      <c r="H25" s="107" t="str">
        <f>IFERROR((((midterm!R31))),"")</f>
        <v xml:space="preserve"> </v>
      </c>
      <c r="I25" s="108" t="str">
        <f t="shared" si="2"/>
        <v/>
      </c>
      <c r="J25" s="109" t="str">
        <f t="shared" si="3"/>
        <v/>
      </c>
      <c r="K25" s="110">
        <f>IFERROR(((('semi-final'!O31))),"")</f>
        <v>0</v>
      </c>
      <c r="L25" s="110" t="str">
        <f>'semi-final'!R31</f>
        <v xml:space="preserve"> </v>
      </c>
      <c r="M25" s="110" t="str">
        <f t="shared" si="4"/>
        <v/>
      </c>
      <c r="N25" s="110" t="str">
        <f t="shared" si="5"/>
        <v/>
      </c>
      <c r="O25" s="107" t="str">
        <f>IFERROR((((finals!M31+finals!P31))),"")</f>
        <v/>
      </c>
      <c r="P25" s="107" t="str">
        <f>IFERROR((((finals!S31))),"")</f>
        <v xml:space="preserve"> </v>
      </c>
      <c r="Q25" s="108" t="str">
        <f t="shared" si="6"/>
        <v/>
      </c>
      <c r="R25" s="109" t="str">
        <f t="shared" si="7"/>
        <v/>
      </c>
      <c r="S25" s="111" t="str">
        <f t="shared" si="8"/>
        <v/>
      </c>
      <c r="T25" s="112" t="str">
        <f t="shared" si="9"/>
        <v>P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1:43" ht="15.75" customHeight="1">
      <c r="A26" s="106">
        <f>prelim!A32</f>
        <v>0</v>
      </c>
      <c r="B26" s="43">
        <f>prelim!B32</f>
        <v>0</v>
      </c>
      <c r="C26" s="107">
        <f>IFERROR((((prelim!O32))),"")</f>
        <v>0</v>
      </c>
      <c r="D26" s="107" t="str">
        <f>IFERROR((((prelim!R32))),"")</f>
        <v xml:space="preserve"> </v>
      </c>
      <c r="E26" s="108" t="str">
        <f t="shared" si="0"/>
        <v/>
      </c>
      <c r="F26" s="109" t="str">
        <f t="shared" si="1"/>
        <v/>
      </c>
      <c r="G26" s="107">
        <f>IFERROR((((midterm!O32))),"")</f>
        <v>0</v>
      </c>
      <c r="H26" s="107" t="str">
        <f>IFERROR((((midterm!R32))),"")</f>
        <v xml:space="preserve"> </v>
      </c>
      <c r="I26" s="108" t="str">
        <f t="shared" si="2"/>
        <v/>
      </c>
      <c r="J26" s="109" t="str">
        <f t="shared" si="3"/>
        <v/>
      </c>
      <c r="K26" s="110">
        <f>IFERROR(((('semi-final'!O32))),"")</f>
        <v>0</v>
      </c>
      <c r="L26" s="110" t="str">
        <f>'semi-final'!R32</f>
        <v xml:space="preserve"> </v>
      </c>
      <c r="M26" s="110" t="str">
        <f t="shared" si="4"/>
        <v/>
      </c>
      <c r="N26" s="110" t="str">
        <f t="shared" si="5"/>
        <v/>
      </c>
      <c r="O26" s="107" t="str">
        <f>IFERROR((((finals!M32+finals!P32))),"")</f>
        <v/>
      </c>
      <c r="P26" s="107" t="str">
        <f>IFERROR((((finals!S32))),"")</f>
        <v xml:space="preserve"> </v>
      </c>
      <c r="Q26" s="108" t="str">
        <f t="shared" si="6"/>
        <v/>
      </c>
      <c r="R26" s="109" t="str">
        <f t="shared" si="7"/>
        <v/>
      </c>
      <c r="S26" s="111" t="str">
        <f t="shared" si="8"/>
        <v/>
      </c>
      <c r="T26" s="112" t="str">
        <f t="shared" si="9"/>
        <v>P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1:43" ht="15.75" customHeight="1">
      <c r="A27" s="106">
        <f>prelim!A33</f>
        <v>0</v>
      </c>
      <c r="B27" s="43">
        <f>prelim!B33</f>
        <v>0</v>
      </c>
      <c r="C27" s="107">
        <f>IFERROR((((prelim!O33))),"")</f>
        <v>0</v>
      </c>
      <c r="D27" s="107" t="str">
        <f>IFERROR((((prelim!R33))),"")</f>
        <v xml:space="preserve"> </v>
      </c>
      <c r="E27" s="108" t="str">
        <f t="shared" si="0"/>
        <v/>
      </c>
      <c r="F27" s="109" t="str">
        <f t="shared" si="1"/>
        <v/>
      </c>
      <c r="G27" s="107">
        <f>IFERROR((((midterm!O33))),"")</f>
        <v>0</v>
      </c>
      <c r="H27" s="107" t="str">
        <f>IFERROR((((midterm!R33))),"")</f>
        <v xml:space="preserve"> </v>
      </c>
      <c r="I27" s="108" t="str">
        <f t="shared" si="2"/>
        <v/>
      </c>
      <c r="J27" s="109" t="str">
        <f t="shared" si="3"/>
        <v/>
      </c>
      <c r="K27" s="110">
        <f>IFERROR(((('semi-final'!O33))),"")</f>
        <v>0</v>
      </c>
      <c r="L27" s="110" t="str">
        <f>'semi-final'!R33</f>
        <v xml:space="preserve"> </v>
      </c>
      <c r="M27" s="110" t="str">
        <f t="shared" si="4"/>
        <v/>
      </c>
      <c r="N27" s="110" t="str">
        <f t="shared" si="5"/>
        <v/>
      </c>
      <c r="O27" s="107" t="str">
        <f>IFERROR((((finals!M33+finals!P33))),"")</f>
        <v/>
      </c>
      <c r="P27" s="107" t="str">
        <f>IFERROR((((finals!S33))),"")</f>
        <v xml:space="preserve"> </v>
      </c>
      <c r="Q27" s="108" t="str">
        <f t="shared" si="6"/>
        <v/>
      </c>
      <c r="R27" s="109" t="str">
        <f t="shared" si="7"/>
        <v/>
      </c>
      <c r="S27" s="111" t="str">
        <f t="shared" si="8"/>
        <v/>
      </c>
      <c r="T27" s="112" t="str">
        <f t="shared" si="9"/>
        <v>P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spans="1:43" ht="15.75" customHeight="1">
      <c r="A28" s="106">
        <f>prelim!A34</f>
        <v>0</v>
      </c>
      <c r="B28" s="43">
        <f>prelim!B34</f>
        <v>0</v>
      </c>
      <c r="C28" s="107">
        <f>IFERROR((((prelim!O34))),"")</f>
        <v>0</v>
      </c>
      <c r="D28" s="107" t="str">
        <f>IFERROR((((prelim!R34))),"")</f>
        <v xml:space="preserve"> </v>
      </c>
      <c r="E28" s="108" t="str">
        <f t="shared" si="0"/>
        <v/>
      </c>
      <c r="F28" s="109" t="str">
        <f t="shared" si="1"/>
        <v/>
      </c>
      <c r="G28" s="107">
        <f>IFERROR((((midterm!O34))),"")</f>
        <v>0</v>
      </c>
      <c r="H28" s="107" t="str">
        <f>IFERROR((((midterm!R34))),"")</f>
        <v xml:space="preserve"> </v>
      </c>
      <c r="I28" s="108" t="str">
        <f t="shared" si="2"/>
        <v/>
      </c>
      <c r="J28" s="109" t="str">
        <f t="shared" si="3"/>
        <v/>
      </c>
      <c r="K28" s="110">
        <f>IFERROR(((('semi-final'!O34))),"")</f>
        <v>0</v>
      </c>
      <c r="L28" s="110" t="str">
        <f>'semi-final'!R34</f>
        <v xml:space="preserve"> </v>
      </c>
      <c r="M28" s="110" t="str">
        <f t="shared" si="4"/>
        <v/>
      </c>
      <c r="N28" s="110" t="str">
        <f t="shared" si="5"/>
        <v/>
      </c>
      <c r="O28" s="107" t="str">
        <f>IFERROR((((finals!M34+finals!P34))),"")</f>
        <v/>
      </c>
      <c r="P28" s="107" t="str">
        <f>IFERROR((((finals!S34))),"")</f>
        <v xml:space="preserve"> </v>
      </c>
      <c r="Q28" s="108" t="str">
        <f t="shared" si="6"/>
        <v/>
      </c>
      <c r="R28" s="109" t="str">
        <f t="shared" si="7"/>
        <v/>
      </c>
      <c r="S28" s="111" t="str">
        <f t="shared" si="8"/>
        <v/>
      </c>
      <c r="T28" s="112" t="str">
        <f t="shared" si="9"/>
        <v>P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s="46" customFormat="1" ht="15.75" customHeight="1">
      <c r="A29" s="106">
        <f>prelim!A35</f>
        <v>0</v>
      </c>
      <c r="B29" s="43">
        <f>prelim!B35</f>
        <v>0</v>
      </c>
      <c r="C29" s="107">
        <f>IFERROR((((prelim!O35))),"")</f>
        <v>0</v>
      </c>
      <c r="D29" s="107" t="str">
        <f>IFERROR((((prelim!R35))),"")</f>
        <v xml:space="preserve"> </v>
      </c>
      <c r="E29" s="108" t="str">
        <f t="shared" si="0"/>
        <v/>
      </c>
      <c r="F29" s="109" t="str">
        <f t="shared" si="1"/>
        <v/>
      </c>
      <c r="G29" s="107">
        <f>IFERROR((((midterm!O35))),"")</f>
        <v>0</v>
      </c>
      <c r="H29" s="107" t="str">
        <f>IFERROR((((midterm!R35))),"")</f>
        <v xml:space="preserve"> </v>
      </c>
      <c r="I29" s="108" t="str">
        <f t="shared" si="2"/>
        <v/>
      </c>
      <c r="J29" s="109" t="str">
        <f t="shared" si="3"/>
        <v/>
      </c>
      <c r="K29" s="110">
        <f>IFERROR(((('semi-final'!O35))),"")</f>
        <v>0</v>
      </c>
      <c r="L29" s="110" t="str">
        <f>'semi-final'!R35</f>
        <v xml:space="preserve"> </v>
      </c>
      <c r="M29" s="110" t="str">
        <f t="shared" si="4"/>
        <v/>
      </c>
      <c r="N29" s="110" t="str">
        <f t="shared" si="5"/>
        <v/>
      </c>
      <c r="O29" s="107" t="str">
        <f>IFERROR((((finals!M35+finals!P35))),"")</f>
        <v/>
      </c>
      <c r="P29" s="107" t="str">
        <f>IFERROR((((finals!S35))),"")</f>
        <v xml:space="preserve"> </v>
      </c>
      <c r="Q29" s="108" t="str">
        <f t="shared" si="6"/>
        <v/>
      </c>
      <c r="R29" s="109" t="str">
        <f t="shared" si="7"/>
        <v/>
      </c>
      <c r="S29" s="111" t="str">
        <f t="shared" si="8"/>
        <v/>
      </c>
      <c r="T29" s="112" t="str">
        <f t="shared" si="9"/>
        <v>P</v>
      </c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</row>
    <row r="30" spans="1:43" ht="15.75" customHeight="1">
      <c r="A30" s="106">
        <f>prelim!A36</f>
        <v>0</v>
      </c>
      <c r="B30" s="43">
        <f>prelim!B36</f>
        <v>0</v>
      </c>
      <c r="C30" s="107">
        <f>IFERROR((((prelim!O36))),"")</f>
        <v>0</v>
      </c>
      <c r="D30" s="107" t="str">
        <f>IFERROR((((prelim!R36))),"")</f>
        <v xml:space="preserve"> </v>
      </c>
      <c r="E30" s="108" t="str">
        <f t="shared" si="0"/>
        <v/>
      </c>
      <c r="F30" s="109" t="str">
        <f t="shared" si="1"/>
        <v/>
      </c>
      <c r="G30" s="107">
        <f>IFERROR((((midterm!O36))),"")</f>
        <v>0</v>
      </c>
      <c r="H30" s="107" t="str">
        <f>IFERROR((((midterm!R36))),"")</f>
        <v xml:space="preserve"> </v>
      </c>
      <c r="I30" s="108" t="str">
        <f t="shared" si="2"/>
        <v/>
      </c>
      <c r="J30" s="109" t="str">
        <f t="shared" si="3"/>
        <v/>
      </c>
      <c r="K30" s="110">
        <f>IFERROR(((('semi-final'!O36))),"")</f>
        <v>0</v>
      </c>
      <c r="L30" s="110" t="str">
        <f>'semi-final'!R36</f>
        <v xml:space="preserve"> </v>
      </c>
      <c r="M30" s="110" t="str">
        <f t="shared" si="4"/>
        <v/>
      </c>
      <c r="N30" s="110" t="str">
        <f t="shared" si="5"/>
        <v/>
      </c>
      <c r="O30" s="107" t="str">
        <f>IFERROR((((finals!M36+finals!P36))),"")</f>
        <v/>
      </c>
      <c r="P30" s="107" t="str">
        <f>IFERROR((((finals!S36))),"")</f>
        <v xml:space="preserve"> </v>
      </c>
      <c r="Q30" s="108" t="str">
        <f t="shared" si="6"/>
        <v/>
      </c>
      <c r="R30" s="109" t="str">
        <f t="shared" si="7"/>
        <v/>
      </c>
      <c r="S30" s="111" t="str">
        <f t="shared" si="8"/>
        <v/>
      </c>
      <c r="T30" s="112" t="str">
        <f t="shared" si="9"/>
        <v>P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spans="1:43" s="46" customFormat="1" ht="15.75" customHeight="1">
      <c r="A31" s="106">
        <f>prelim!A37</f>
        <v>0</v>
      </c>
      <c r="B31" s="43">
        <f>prelim!B37</f>
        <v>0</v>
      </c>
      <c r="C31" s="107">
        <f>IFERROR((((prelim!O37))),"")</f>
        <v>0</v>
      </c>
      <c r="D31" s="107" t="str">
        <f>IFERROR((((prelim!R37))),"")</f>
        <v xml:space="preserve"> </v>
      </c>
      <c r="E31" s="108" t="str">
        <f t="shared" si="0"/>
        <v/>
      </c>
      <c r="F31" s="109" t="str">
        <f t="shared" si="1"/>
        <v/>
      </c>
      <c r="G31" s="107">
        <f>IFERROR((((midterm!O37))),"")</f>
        <v>0</v>
      </c>
      <c r="H31" s="107" t="str">
        <f>IFERROR((((midterm!R37))),"")</f>
        <v xml:space="preserve"> </v>
      </c>
      <c r="I31" s="108" t="str">
        <f t="shared" si="2"/>
        <v/>
      </c>
      <c r="J31" s="109" t="str">
        <f t="shared" si="3"/>
        <v/>
      </c>
      <c r="K31" s="110">
        <f>IFERROR(((('semi-final'!O37))),"")</f>
        <v>0</v>
      </c>
      <c r="L31" s="110" t="str">
        <f>'semi-final'!R37</f>
        <v xml:space="preserve"> </v>
      </c>
      <c r="M31" s="110" t="str">
        <f t="shared" si="4"/>
        <v/>
      </c>
      <c r="N31" s="110" t="str">
        <f t="shared" si="5"/>
        <v/>
      </c>
      <c r="O31" s="107" t="str">
        <f>IFERROR((((finals!M37+finals!P37))),"")</f>
        <v/>
      </c>
      <c r="P31" s="107" t="str">
        <f>IFERROR((((finals!S37))),"")</f>
        <v xml:space="preserve"> </v>
      </c>
      <c r="Q31" s="108" t="str">
        <f t="shared" si="6"/>
        <v/>
      </c>
      <c r="R31" s="109" t="str">
        <f t="shared" si="7"/>
        <v/>
      </c>
      <c r="S31" s="111" t="str">
        <f t="shared" si="8"/>
        <v/>
      </c>
      <c r="T31" s="112" t="str">
        <f t="shared" si="9"/>
        <v>P</v>
      </c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</row>
    <row r="32" spans="1:43" ht="15.75" customHeight="1">
      <c r="A32" s="106">
        <f>prelim!A38</f>
        <v>0</v>
      </c>
      <c r="B32" s="43">
        <f>prelim!B38</f>
        <v>0</v>
      </c>
      <c r="C32" s="107">
        <f>IFERROR((((prelim!O38))),"")</f>
        <v>0</v>
      </c>
      <c r="D32" s="107" t="str">
        <f>IFERROR((((prelim!R38))),"")</f>
        <v xml:space="preserve"> </v>
      </c>
      <c r="E32" s="108" t="str">
        <f t="shared" si="0"/>
        <v/>
      </c>
      <c r="F32" s="109" t="str">
        <f t="shared" si="1"/>
        <v/>
      </c>
      <c r="G32" s="107">
        <f>IFERROR((((midterm!O38))),"")</f>
        <v>0</v>
      </c>
      <c r="H32" s="107" t="str">
        <f>IFERROR((((midterm!R38))),"")</f>
        <v xml:space="preserve"> </v>
      </c>
      <c r="I32" s="108" t="str">
        <f t="shared" si="2"/>
        <v/>
      </c>
      <c r="J32" s="109" t="str">
        <f t="shared" si="3"/>
        <v/>
      </c>
      <c r="K32" s="110">
        <f>IFERROR(((('semi-final'!O38))),"")</f>
        <v>0</v>
      </c>
      <c r="L32" s="110" t="str">
        <f>'semi-final'!R38</f>
        <v xml:space="preserve"> </v>
      </c>
      <c r="M32" s="110" t="str">
        <f t="shared" si="4"/>
        <v/>
      </c>
      <c r="N32" s="110" t="str">
        <f t="shared" si="5"/>
        <v/>
      </c>
      <c r="O32" s="107" t="str">
        <f>IFERROR((((finals!M38+finals!P38))),"")</f>
        <v/>
      </c>
      <c r="P32" s="107" t="str">
        <f>IFERROR((((finals!S38))),"")</f>
        <v xml:space="preserve"> </v>
      </c>
      <c r="Q32" s="108" t="str">
        <f t="shared" si="6"/>
        <v/>
      </c>
      <c r="R32" s="109" t="str">
        <f t="shared" si="7"/>
        <v/>
      </c>
      <c r="S32" s="111" t="str">
        <f t="shared" si="8"/>
        <v/>
      </c>
      <c r="T32" s="112" t="str">
        <f t="shared" si="9"/>
        <v>P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spans="1:43" ht="15.75" customHeight="1">
      <c r="A33" s="106">
        <f>prelim!A39</f>
        <v>0</v>
      </c>
      <c r="B33" s="43">
        <f>prelim!B39</f>
        <v>0</v>
      </c>
      <c r="C33" s="107">
        <f>IFERROR((((prelim!O39))),"")</f>
        <v>0</v>
      </c>
      <c r="D33" s="107" t="str">
        <f>IFERROR((((prelim!R39))),"")</f>
        <v xml:space="preserve"> </v>
      </c>
      <c r="E33" s="108" t="str">
        <f t="shared" si="0"/>
        <v/>
      </c>
      <c r="F33" s="109" t="str">
        <f t="shared" si="1"/>
        <v/>
      </c>
      <c r="G33" s="107">
        <f>IFERROR((((midterm!O39))),"")</f>
        <v>0</v>
      </c>
      <c r="H33" s="107" t="str">
        <f>IFERROR((((midterm!R39))),"")</f>
        <v xml:space="preserve"> </v>
      </c>
      <c r="I33" s="108" t="str">
        <f t="shared" si="2"/>
        <v/>
      </c>
      <c r="J33" s="109" t="str">
        <f t="shared" si="3"/>
        <v/>
      </c>
      <c r="K33" s="110">
        <f>IFERROR(((('semi-final'!O39))),"")</f>
        <v>0</v>
      </c>
      <c r="L33" s="110" t="str">
        <f>'semi-final'!R39</f>
        <v xml:space="preserve"> </v>
      </c>
      <c r="M33" s="110" t="str">
        <f t="shared" si="4"/>
        <v/>
      </c>
      <c r="N33" s="110" t="str">
        <f t="shared" si="5"/>
        <v/>
      </c>
      <c r="O33" s="107" t="str">
        <f>IFERROR((((finals!M39+finals!P39))),"")</f>
        <v/>
      </c>
      <c r="P33" s="107" t="str">
        <f>IFERROR((((finals!S39))),"")</f>
        <v xml:space="preserve"> </v>
      </c>
      <c r="Q33" s="108" t="str">
        <f t="shared" si="6"/>
        <v/>
      </c>
      <c r="R33" s="109" t="str">
        <f t="shared" si="7"/>
        <v/>
      </c>
      <c r="S33" s="111" t="str">
        <f t="shared" si="8"/>
        <v/>
      </c>
      <c r="T33" s="112" t="str">
        <f t="shared" si="9"/>
        <v>P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1:43" ht="15.75" customHeight="1">
      <c r="A34" s="106">
        <f>prelim!A40</f>
        <v>0</v>
      </c>
      <c r="B34" s="43">
        <f>prelim!B40</f>
        <v>0</v>
      </c>
      <c r="C34" s="107">
        <f>IFERROR((((prelim!O40))),"")</f>
        <v>0</v>
      </c>
      <c r="D34" s="107" t="str">
        <f>IFERROR((((prelim!R40))),"")</f>
        <v xml:space="preserve"> </v>
      </c>
      <c r="E34" s="108" t="str">
        <f t="shared" si="0"/>
        <v/>
      </c>
      <c r="F34" s="109" t="str">
        <f t="shared" si="1"/>
        <v/>
      </c>
      <c r="G34" s="107">
        <f>IFERROR((((midterm!O40))),"")</f>
        <v>0</v>
      </c>
      <c r="H34" s="107" t="str">
        <f>IFERROR((((midterm!R40))),"")</f>
        <v xml:space="preserve"> </v>
      </c>
      <c r="I34" s="108" t="str">
        <f t="shared" si="2"/>
        <v/>
      </c>
      <c r="J34" s="109" t="str">
        <f t="shared" si="3"/>
        <v/>
      </c>
      <c r="K34" s="110">
        <f>IFERROR(((('semi-final'!O40))),"")</f>
        <v>0</v>
      </c>
      <c r="L34" s="110" t="str">
        <f>'semi-final'!R40</f>
        <v xml:space="preserve"> </v>
      </c>
      <c r="M34" s="110" t="str">
        <f t="shared" si="4"/>
        <v/>
      </c>
      <c r="N34" s="110" t="str">
        <f t="shared" si="5"/>
        <v/>
      </c>
      <c r="O34" s="107" t="str">
        <f>IFERROR((((finals!M40+finals!P40))),"")</f>
        <v/>
      </c>
      <c r="P34" s="107" t="str">
        <f>IFERROR((((finals!S40))),"")</f>
        <v xml:space="preserve"> </v>
      </c>
      <c r="Q34" s="108" t="str">
        <f t="shared" si="6"/>
        <v/>
      </c>
      <c r="R34" s="109" t="str">
        <f t="shared" si="7"/>
        <v/>
      </c>
      <c r="S34" s="111" t="str">
        <f t="shared" si="8"/>
        <v/>
      </c>
      <c r="T34" s="112" t="str">
        <f t="shared" si="9"/>
        <v>P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spans="1:43" ht="15.75" customHeight="1">
      <c r="A35" s="106">
        <f>prelim!A41</f>
        <v>0</v>
      </c>
      <c r="B35" s="43">
        <f>prelim!B41</f>
        <v>0</v>
      </c>
      <c r="C35" s="107">
        <f>IFERROR((((prelim!O41))),"")</f>
        <v>0</v>
      </c>
      <c r="D35" s="107" t="str">
        <f>IFERROR((((prelim!R41))),"")</f>
        <v xml:space="preserve"> </v>
      </c>
      <c r="E35" s="108" t="str">
        <f t="shared" si="0"/>
        <v/>
      </c>
      <c r="F35" s="109" t="str">
        <f t="shared" si="1"/>
        <v/>
      </c>
      <c r="G35" s="107">
        <f>IFERROR((((midterm!O41))),"")</f>
        <v>0</v>
      </c>
      <c r="H35" s="107" t="str">
        <f>IFERROR((((midterm!R41))),"")</f>
        <v xml:space="preserve"> </v>
      </c>
      <c r="I35" s="108" t="str">
        <f t="shared" si="2"/>
        <v/>
      </c>
      <c r="J35" s="109" t="str">
        <f t="shared" si="3"/>
        <v/>
      </c>
      <c r="K35" s="110">
        <f>IFERROR(((('semi-final'!O41))),"")</f>
        <v>0</v>
      </c>
      <c r="L35" s="110" t="str">
        <f>'semi-final'!R41</f>
        <v xml:space="preserve"> </v>
      </c>
      <c r="M35" s="110" t="str">
        <f t="shared" si="4"/>
        <v/>
      </c>
      <c r="N35" s="110" t="str">
        <f t="shared" si="5"/>
        <v/>
      </c>
      <c r="O35" s="107" t="str">
        <f>IFERROR((((finals!M41+finals!P41))),"")</f>
        <v/>
      </c>
      <c r="P35" s="107" t="str">
        <f>IFERROR((((finals!S41))),"")</f>
        <v xml:space="preserve"> </v>
      </c>
      <c r="Q35" s="108" t="str">
        <f t="shared" si="6"/>
        <v/>
      </c>
      <c r="R35" s="109" t="str">
        <f t="shared" si="7"/>
        <v/>
      </c>
      <c r="S35" s="111" t="str">
        <f t="shared" si="8"/>
        <v/>
      </c>
      <c r="T35" s="112" t="str">
        <f t="shared" si="9"/>
        <v>P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spans="1:43" ht="15.75" customHeight="1">
      <c r="A36" s="106">
        <f>prelim!A42</f>
        <v>0</v>
      </c>
      <c r="B36" s="43">
        <f>prelim!B42</f>
        <v>0</v>
      </c>
      <c r="C36" s="107">
        <f>IFERROR((((prelim!O42))),"")</f>
        <v>0</v>
      </c>
      <c r="D36" s="107" t="str">
        <f>IFERROR((((prelim!R42))),"")</f>
        <v xml:space="preserve"> </v>
      </c>
      <c r="E36" s="108" t="str">
        <f t="shared" si="0"/>
        <v/>
      </c>
      <c r="F36" s="109" t="str">
        <f t="shared" si="1"/>
        <v/>
      </c>
      <c r="G36" s="107">
        <f>IFERROR((((midterm!O42))),"")</f>
        <v>0</v>
      </c>
      <c r="H36" s="107" t="str">
        <f>IFERROR((((midterm!R42))),"")</f>
        <v xml:space="preserve"> </v>
      </c>
      <c r="I36" s="108" t="str">
        <f t="shared" si="2"/>
        <v/>
      </c>
      <c r="J36" s="109" t="str">
        <f t="shared" si="3"/>
        <v/>
      </c>
      <c r="K36" s="110">
        <f>IFERROR(((('semi-final'!O42))),"")</f>
        <v>0</v>
      </c>
      <c r="L36" s="110" t="str">
        <f>'semi-final'!R42</f>
        <v xml:space="preserve"> </v>
      </c>
      <c r="M36" s="110" t="str">
        <f t="shared" si="4"/>
        <v/>
      </c>
      <c r="N36" s="110" t="str">
        <f t="shared" si="5"/>
        <v/>
      </c>
      <c r="O36" s="107" t="str">
        <f>IFERROR((((finals!M42+finals!P42))),"")</f>
        <v/>
      </c>
      <c r="P36" s="107" t="str">
        <f>IFERROR((((finals!S42))),"")</f>
        <v xml:space="preserve"> </v>
      </c>
      <c r="Q36" s="108" t="str">
        <f t="shared" si="6"/>
        <v/>
      </c>
      <c r="R36" s="109" t="str">
        <f t="shared" si="7"/>
        <v/>
      </c>
      <c r="S36" s="111" t="str">
        <f t="shared" si="8"/>
        <v/>
      </c>
      <c r="T36" s="112" t="str">
        <f t="shared" si="9"/>
        <v>P</v>
      </c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spans="1:43" ht="15.75" customHeight="1">
      <c r="A37" s="106">
        <f>prelim!A43</f>
        <v>0</v>
      </c>
      <c r="B37" s="43">
        <f>prelim!B43</f>
        <v>0</v>
      </c>
      <c r="C37" s="107">
        <f>IFERROR((((prelim!O43))),"")</f>
        <v>0</v>
      </c>
      <c r="D37" s="107" t="str">
        <f>IFERROR((((prelim!R43))),"")</f>
        <v xml:space="preserve"> </v>
      </c>
      <c r="E37" s="108" t="str">
        <f t="shared" si="0"/>
        <v/>
      </c>
      <c r="F37" s="109" t="str">
        <f t="shared" si="1"/>
        <v/>
      </c>
      <c r="G37" s="107">
        <f>IFERROR((((midterm!O43))),"")</f>
        <v>0</v>
      </c>
      <c r="H37" s="107" t="str">
        <f>IFERROR((((midterm!R43))),"")</f>
        <v xml:space="preserve"> </v>
      </c>
      <c r="I37" s="108" t="str">
        <f t="shared" si="2"/>
        <v/>
      </c>
      <c r="J37" s="109" t="str">
        <f t="shared" si="3"/>
        <v/>
      </c>
      <c r="K37" s="110">
        <f>IFERROR(((('semi-final'!O43))),"")</f>
        <v>0</v>
      </c>
      <c r="L37" s="110" t="str">
        <f>'semi-final'!R43</f>
        <v xml:space="preserve"> </v>
      </c>
      <c r="M37" s="110" t="str">
        <f t="shared" si="4"/>
        <v/>
      </c>
      <c r="N37" s="110" t="str">
        <f t="shared" si="5"/>
        <v/>
      </c>
      <c r="O37" s="107" t="str">
        <f>IFERROR((((finals!M43+finals!P43))),"")</f>
        <v/>
      </c>
      <c r="P37" s="107" t="str">
        <f>IFERROR((((finals!S43))),"")</f>
        <v xml:space="preserve"> </v>
      </c>
      <c r="Q37" s="108" t="str">
        <f t="shared" si="6"/>
        <v/>
      </c>
      <c r="R37" s="109" t="str">
        <f t="shared" si="7"/>
        <v/>
      </c>
      <c r="S37" s="111" t="str">
        <f t="shared" si="8"/>
        <v/>
      </c>
      <c r="T37" s="112" t="str">
        <f t="shared" si="9"/>
        <v>P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spans="1:43" s="46" customFormat="1" ht="15.75" customHeight="1">
      <c r="A38" s="106">
        <f>prelim!A44</f>
        <v>0</v>
      </c>
      <c r="B38" s="43">
        <f>prelim!B44</f>
        <v>0</v>
      </c>
      <c r="C38" s="107">
        <f>IFERROR((((prelim!O44))),"")</f>
        <v>0</v>
      </c>
      <c r="D38" s="107" t="str">
        <f>IFERROR((((prelim!R44))),"")</f>
        <v xml:space="preserve"> </v>
      </c>
      <c r="E38" s="108" t="str">
        <f t="shared" si="0"/>
        <v/>
      </c>
      <c r="F38" s="109" t="str">
        <f t="shared" si="1"/>
        <v/>
      </c>
      <c r="G38" s="107">
        <f>IFERROR((((midterm!O44))),"")</f>
        <v>0</v>
      </c>
      <c r="H38" s="107" t="str">
        <f>IFERROR((((midterm!R44))),"")</f>
        <v xml:space="preserve"> </v>
      </c>
      <c r="I38" s="108" t="str">
        <f t="shared" si="2"/>
        <v/>
      </c>
      <c r="J38" s="109" t="str">
        <f t="shared" si="3"/>
        <v/>
      </c>
      <c r="K38" s="110">
        <f>IFERROR(((('semi-final'!O44))),"")</f>
        <v>0</v>
      </c>
      <c r="L38" s="110" t="str">
        <f>'semi-final'!R44</f>
        <v xml:space="preserve"> </v>
      </c>
      <c r="M38" s="110" t="str">
        <f t="shared" si="4"/>
        <v/>
      </c>
      <c r="N38" s="110" t="str">
        <f t="shared" si="5"/>
        <v/>
      </c>
      <c r="O38" s="107" t="str">
        <f>IFERROR((((finals!M44+finals!P44))),"")</f>
        <v/>
      </c>
      <c r="P38" s="107" t="str">
        <f>IFERROR((((finals!S44))),"")</f>
        <v xml:space="preserve"> </v>
      </c>
      <c r="Q38" s="108" t="str">
        <f t="shared" si="6"/>
        <v/>
      </c>
      <c r="R38" s="109" t="str">
        <f t="shared" si="7"/>
        <v/>
      </c>
      <c r="S38" s="111" t="str">
        <f t="shared" si="8"/>
        <v/>
      </c>
      <c r="T38" s="112" t="str">
        <f t="shared" si="9"/>
        <v>P</v>
      </c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</row>
    <row r="39" spans="1:43" s="46" customFormat="1" ht="15.75" customHeight="1">
      <c r="A39" s="106">
        <f>prelim!A45</f>
        <v>0</v>
      </c>
      <c r="B39" s="43">
        <f>prelim!B45</f>
        <v>0</v>
      </c>
      <c r="C39" s="107">
        <f>IFERROR((((prelim!O45))),"")</f>
        <v>0</v>
      </c>
      <c r="D39" s="107" t="str">
        <f>IFERROR((((prelim!R45))),"")</f>
        <v xml:space="preserve"> </v>
      </c>
      <c r="E39" s="108" t="str">
        <f t="shared" si="0"/>
        <v/>
      </c>
      <c r="F39" s="109" t="str">
        <f t="shared" si="1"/>
        <v/>
      </c>
      <c r="G39" s="107">
        <f>IFERROR((((midterm!O45))),"")</f>
        <v>0</v>
      </c>
      <c r="H39" s="107" t="str">
        <f>IFERROR((((midterm!R45))),"")</f>
        <v xml:space="preserve"> </v>
      </c>
      <c r="I39" s="108" t="str">
        <f t="shared" si="2"/>
        <v/>
      </c>
      <c r="J39" s="109" t="str">
        <f t="shared" si="3"/>
        <v/>
      </c>
      <c r="K39" s="110">
        <f>IFERROR(((('semi-final'!O45))),"")</f>
        <v>0</v>
      </c>
      <c r="L39" s="110" t="str">
        <f>'semi-final'!R45</f>
        <v xml:space="preserve"> </v>
      </c>
      <c r="M39" s="110" t="str">
        <f t="shared" si="4"/>
        <v/>
      </c>
      <c r="N39" s="110" t="str">
        <f t="shared" si="5"/>
        <v/>
      </c>
      <c r="O39" s="107" t="str">
        <f>IFERROR((((finals!M45+finals!P45))),"")</f>
        <v/>
      </c>
      <c r="P39" s="107" t="str">
        <f>IFERROR((((finals!S45))),"")</f>
        <v xml:space="preserve"> </v>
      </c>
      <c r="Q39" s="108" t="str">
        <f t="shared" si="6"/>
        <v/>
      </c>
      <c r="R39" s="109" t="str">
        <f t="shared" si="7"/>
        <v/>
      </c>
      <c r="S39" s="111" t="str">
        <f t="shared" si="8"/>
        <v/>
      </c>
      <c r="T39" s="112" t="str">
        <f t="shared" si="9"/>
        <v>P</v>
      </c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spans="1:43" ht="15.75" customHeight="1">
      <c r="A40" s="106">
        <f>prelim!A46</f>
        <v>0</v>
      </c>
      <c r="B40" s="43">
        <f>prelim!B46</f>
        <v>0</v>
      </c>
      <c r="C40" s="107">
        <f>IFERROR((((prelim!O46))),"")</f>
        <v>0</v>
      </c>
      <c r="D40" s="107" t="str">
        <f>IFERROR((((prelim!R46))),"")</f>
        <v xml:space="preserve"> </v>
      </c>
      <c r="E40" s="108" t="str">
        <f t="shared" si="0"/>
        <v/>
      </c>
      <c r="F40" s="109" t="str">
        <f t="shared" si="1"/>
        <v/>
      </c>
      <c r="G40" s="107">
        <f>IFERROR((((midterm!O46))),"")</f>
        <v>0</v>
      </c>
      <c r="H40" s="107" t="str">
        <f>IFERROR((((midterm!R46))),"")</f>
        <v xml:space="preserve"> </v>
      </c>
      <c r="I40" s="108" t="str">
        <f t="shared" si="2"/>
        <v/>
      </c>
      <c r="J40" s="109" t="str">
        <f t="shared" si="3"/>
        <v/>
      </c>
      <c r="K40" s="110">
        <f>IFERROR(((('semi-final'!O46))),"")</f>
        <v>0</v>
      </c>
      <c r="L40" s="110" t="str">
        <f>'semi-final'!R46</f>
        <v xml:space="preserve"> </v>
      </c>
      <c r="M40" s="110" t="str">
        <f t="shared" si="4"/>
        <v/>
      </c>
      <c r="N40" s="110" t="str">
        <f t="shared" si="5"/>
        <v/>
      </c>
      <c r="O40" s="107" t="str">
        <f>IFERROR((((finals!M46+finals!P46))),"")</f>
        <v/>
      </c>
      <c r="P40" s="107" t="str">
        <f>IFERROR((((finals!S46))),"")</f>
        <v xml:space="preserve"> </v>
      </c>
      <c r="Q40" s="108" t="str">
        <f t="shared" si="6"/>
        <v/>
      </c>
      <c r="R40" s="109" t="str">
        <f t="shared" si="7"/>
        <v/>
      </c>
      <c r="S40" s="111" t="str">
        <f t="shared" si="8"/>
        <v/>
      </c>
      <c r="T40" s="112" t="str">
        <f t="shared" si="9"/>
        <v>P</v>
      </c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spans="1:43" ht="15.75" customHeight="1">
      <c r="A41" s="106">
        <f>prelim!A47</f>
        <v>0</v>
      </c>
      <c r="B41" s="43">
        <f>prelim!B47</f>
        <v>0</v>
      </c>
      <c r="C41" s="107">
        <f>IFERROR((((prelim!O47))),"")</f>
        <v>0</v>
      </c>
      <c r="D41" s="107" t="str">
        <f>IFERROR((((prelim!R47))),"")</f>
        <v xml:space="preserve"> </v>
      </c>
      <c r="E41" s="108" t="str">
        <f t="shared" si="0"/>
        <v/>
      </c>
      <c r="F41" s="109" t="str">
        <f t="shared" si="1"/>
        <v/>
      </c>
      <c r="G41" s="107">
        <f>IFERROR((((midterm!O47))),"")</f>
        <v>0</v>
      </c>
      <c r="H41" s="107" t="str">
        <f>IFERROR((((midterm!R47))),"")</f>
        <v xml:space="preserve"> </v>
      </c>
      <c r="I41" s="108" t="str">
        <f t="shared" si="2"/>
        <v/>
      </c>
      <c r="J41" s="109" t="str">
        <f t="shared" si="3"/>
        <v/>
      </c>
      <c r="K41" s="110">
        <f>IFERROR(((('semi-final'!O47))),"")</f>
        <v>0</v>
      </c>
      <c r="L41" s="110" t="str">
        <f>'semi-final'!R47</f>
        <v xml:space="preserve"> </v>
      </c>
      <c r="M41" s="110" t="str">
        <f t="shared" si="4"/>
        <v/>
      </c>
      <c r="N41" s="110" t="str">
        <f t="shared" si="5"/>
        <v/>
      </c>
      <c r="O41" s="107" t="str">
        <f>IFERROR((((finals!M47+finals!P47))),"")</f>
        <v/>
      </c>
      <c r="P41" s="107" t="str">
        <f>IFERROR((((finals!S47))),"")</f>
        <v xml:space="preserve"> </v>
      </c>
      <c r="Q41" s="108" t="str">
        <f t="shared" si="6"/>
        <v/>
      </c>
      <c r="R41" s="109" t="str">
        <f t="shared" si="7"/>
        <v/>
      </c>
      <c r="S41" s="111" t="str">
        <f t="shared" si="8"/>
        <v/>
      </c>
      <c r="T41" s="112" t="str">
        <f t="shared" si="9"/>
        <v>P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spans="1:43" ht="15.75" customHeight="1">
      <c r="A42" s="106">
        <f>prelim!A48</f>
        <v>0</v>
      </c>
      <c r="B42" s="43">
        <f>prelim!B48</f>
        <v>0</v>
      </c>
      <c r="C42" s="107">
        <f>IFERROR((((prelim!O48))),"")</f>
        <v>0</v>
      </c>
      <c r="D42" s="107" t="str">
        <f>IFERROR((((prelim!R48))),"")</f>
        <v xml:space="preserve"> </v>
      </c>
      <c r="E42" s="108" t="str">
        <f t="shared" si="0"/>
        <v/>
      </c>
      <c r="F42" s="109" t="str">
        <f t="shared" si="1"/>
        <v/>
      </c>
      <c r="G42" s="107">
        <f>IFERROR((((midterm!O48))),"")</f>
        <v>0</v>
      </c>
      <c r="H42" s="107" t="str">
        <f>IFERROR((((midterm!R48))),"")</f>
        <v xml:space="preserve"> </v>
      </c>
      <c r="I42" s="108" t="str">
        <f t="shared" si="2"/>
        <v/>
      </c>
      <c r="J42" s="109" t="str">
        <f t="shared" si="3"/>
        <v/>
      </c>
      <c r="K42" s="110">
        <f>IFERROR(((('semi-final'!O48))),"")</f>
        <v>0</v>
      </c>
      <c r="L42" s="110" t="str">
        <f>'semi-final'!R48</f>
        <v xml:space="preserve"> </v>
      </c>
      <c r="M42" s="110" t="str">
        <f t="shared" si="4"/>
        <v/>
      </c>
      <c r="N42" s="110" t="str">
        <f t="shared" si="5"/>
        <v/>
      </c>
      <c r="O42" s="107" t="str">
        <f>IFERROR((((finals!M48+finals!P48))),"")</f>
        <v/>
      </c>
      <c r="P42" s="107" t="str">
        <f>IFERROR((((finals!S48))),"")</f>
        <v xml:space="preserve"> </v>
      </c>
      <c r="Q42" s="108" t="str">
        <f t="shared" si="6"/>
        <v/>
      </c>
      <c r="R42" s="109" t="str">
        <f t="shared" si="7"/>
        <v/>
      </c>
      <c r="S42" s="111" t="str">
        <f t="shared" si="8"/>
        <v/>
      </c>
      <c r="T42" s="112" t="str">
        <f t="shared" si="9"/>
        <v>P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spans="1:43" ht="15.75" customHeight="1">
      <c r="A43" s="106">
        <f>prelim!A49</f>
        <v>0</v>
      </c>
      <c r="B43" s="43">
        <f>prelim!B49</f>
        <v>0</v>
      </c>
      <c r="C43" s="107">
        <f>IFERROR((((prelim!O49))),"")</f>
        <v>0</v>
      </c>
      <c r="D43" s="107" t="str">
        <f>IFERROR((((prelim!R49))),"")</f>
        <v xml:space="preserve"> </v>
      </c>
      <c r="E43" s="108" t="str">
        <f t="shared" si="0"/>
        <v/>
      </c>
      <c r="F43" s="109" t="str">
        <f t="shared" si="1"/>
        <v/>
      </c>
      <c r="G43" s="107">
        <f>IFERROR((((midterm!O49))),"")</f>
        <v>0</v>
      </c>
      <c r="H43" s="107" t="str">
        <f>IFERROR((((midterm!R49))),"")</f>
        <v xml:space="preserve"> </v>
      </c>
      <c r="I43" s="108" t="str">
        <f t="shared" si="2"/>
        <v/>
      </c>
      <c r="J43" s="109" t="str">
        <f t="shared" si="3"/>
        <v/>
      </c>
      <c r="K43" s="110">
        <f>IFERROR(((('semi-final'!O49))),"")</f>
        <v>0</v>
      </c>
      <c r="L43" s="110" t="str">
        <f>'semi-final'!R49</f>
        <v xml:space="preserve"> </v>
      </c>
      <c r="M43" s="110" t="str">
        <f t="shared" si="4"/>
        <v/>
      </c>
      <c r="N43" s="110" t="str">
        <f t="shared" si="5"/>
        <v/>
      </c>
      <c r="O43" s="107" t="str">
        <f>IFERROR((((finals!M49+finals!P49))),"")</f>
        <v/>
      </c>
      <c r="P43" s="107" t="str">
        <f>IFERROR((((finals!S49))),"")</f>
        <v xml:space="preserve"> </v>
      </c>
      <c r="Q43" s="108" t="str">
        <f t="shared" si="6"/>
        <v/>
      </c>
      <c r="R43" s="109" t="str">
        <f t="shared" si="7"/>
        <v/>
      </c>
      <c r="S43" s="111" t="str">
        <f t="shared" si="8"/>
        <v/>
      </c>
      <c r="T43" s="112" t="str">
        <f t="shared" si="9"/>
        <v>P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spans="1:43" ht="15.75" customHeight="1">
      <c r="A44" s="106">
        <f>prelim!A50</f>
        <v>0</v>
      </c>
      <c r="B44" s="43">
        <f>prelim!B50</f>
        <v>0</v>
      </c>
      <c r="C44" s="107">
        <f>IFERROR((((prelim!O50))),"")</f>
        <v>0</v>
      </c>
      <c r="D44" s="107" t="str">
        <f>IFERROR((((prelim!R50))),"")</f>
        <v xml:space="preserve"> </v>
      </c>
      <c r="E44" s="108" t="str">
        <f t="shared" si="0"/>
        <v/>
      </c>
      <c r="F44" s="109" t="str">
        <f t="shared" si="1"/>
        <v/>
      </c>
      <c r="G44" s="107">
        <f>IFERROR((((midterm!O50))),"")</f>
        <v>0</v>
      </c>
      <c r="H44" s="107" t="str">
        <f>IFERROR((((midterm!R50))),"")</f>
        <v xml:space="preserve"> </v>
      </c>
      <c r="I44" s="108" t="str">
        <f t="shared" si="2"/>
        <v/>
      </c>
      <c r="J44" s="109" t="str">
        <f t="shared" si="3"/>
        <v/>
      </c>
      <c r="K44" s="110">
        <f>IFERROR(((('semi-final'!O50))),"")</f>
        <v>0</v>
      </c>
      <c r="L44" s="110" t="str">
        <f>'semi-final'!R50</f>
        <v xml:space="preserve"> </v>
      </c>
      <c r="M44" s="110" t="str">
        <f t="shared" si="4"/>
        <v/>
      </c>
      <c r="N44" s="110" t="str">
        <f t="shared" si="5"/>
        <v/>
      </c>
      <c r="O44" s="107" t="str">
        <f>IFERROR((((finals!M50+finals!P50))),"")</f>
        <v/>
      </c>
      <c r="P44" s="107" t="str">
        <f>IFERROR((((finals!S50))),"")</f>
        <v xml:space="preserve"> </v>
      </c>
      <c r="Q44" s="108" t="str">
        <f t="shared" si="6"/>
        <v/>
      </c>
      <c r="R44" s="109" t="str">
        <f t="shared" si="7"/>
        <v/>
      </c>
      <c r="S44" s="111" t="str">
        <f t="shared" si="8"/>
        <v/>
      </c>
      <c r="T44" s="112" t="str">
        <f t="shared" si="9"/>
        <v>P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spans="1:43" s="46" customFormat="1" ht="15.75" customHeight="1">
      <c r="A45" s="106">
        <f>prelim!A51</f>
        <v>0</v>
      </c>
      <c r="B45" s="43">
        <f>prelim!B51</f>
        <v>0</v>
      </c>
      <c r="C45" s="107">
        <f>IFERROR((((prelim!O51))),"")</f>
        <v>0</v>
      </c>
      <c r="D45" s="107" t="str">
        <f>IFERROR((((prelim!R51))),"")</f>
        <v xml:space="preserve"> </v>
      </c>
      <c r="E45" s="108" t="str">
        <f t="shared" si="0"/>
        <v/>
      </c>
      <c r="F45" s="109" t="str">
        <f t="shared" si="1"/>
        <v/>
      </c>
      <c r="G45" s="107">
        <f>IFERROR((((midterm!O51))),"")</f>
        <v>0</v>
      </c>
      <c r="H45" s="107" t="str">
        <f>IFERROR((((midterm!R51))),"")</f>
        <v xml:space="preserve"> </v>
      </c>
      <c r="I45" s="108" t="str">
        <f t="shared" si="2"/>
        <v/>
      </c>
      <c r="J45" s="109" t="str">
        <f t="shared" si="3"/>
        <v/>
      </c>
      <c r="K45" s="110">
        <f>IFERROR(((('semi-final'!O51))),"")</f>
        <v>0</v>
      </c>
      <c r="L45" s="110" t="str">
        <f>'semi-final'!R51</f>
        <v xml:space="preserve"> </v>
      </c>
      <c r="M45" s="110" t="str">
        <f t="shared" si="4"/>
        <v/>
      </c>
      <c r="N45" s="110" t="str">
        <f t="shared" si="5"/>
        <v/>
      </c>
      <c r="O45" s="107" t="str">
        <f>IFERROR((((finals!M51+finals!P51))),"")</f>
        <v/>
      </c>
      <c r="P45" s="107" t="str">
        <f>IFERROR((((finals!S51))),"")</f>
        <v xml:space="preserve"> </v>
      </c>
      <c r="Q45" s="108" t="str">
        <f t="shared" si="6"/>
        <v/>
      </c>
      <c r="R45" s="109" t="str">
        <f t="shared" si="7"/>
        <v/>
      </c>
      <c r="S45" s="111" t="str">
        <f t="shared" si="8"/>
        <v/>
      </c>
      <c r="T45" s="112" t="str">
        <f t="shared" si="9"/>
        <v>P</v>
      </c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ht="15.75" customHeight="1">
      <c r="A46" s="106">
        <f>prelim!A52</f>
        <v>0</v>
      </c>
      <c r="B46" s="43">
        <f>prelim!B52</f>
        <v>0</v>
      </c>
      <c r="C46" s="107">
        <f>IFERROR((((prelim!O52))),"")</f>
        <v>0</v>
      </c>
      <c r="D46" s="107" t="str">
        <f>IFERROR((((prelim!R52))),"")</f>
        <v xml:space="preserve"> </v>
      </c>
      <c r="E46" s="108" t="str">
        <f t="shared" si="0"/>
        <v/>
      </c>
      <c r="F46" s="109" t="str">
        <f t="shared" si="1"/>
        <v/>
      </c>
      <c r="G46" s="107">
        <f>IFERROR((((midterm!O52))),"")</f>
        <v>0</v>
      </c>
      <c r="H46" s="107" t="str">
        <f>IFERROR((((midterm!R52))),"")</f>
        <v xml:space="preserve"> </v>
      </c>
      <c r="I46" s="108" t="str">
        <f t="shared" si="2"/>
        <v/>
      </c>
      <c r="J46" s="109" t="str">
        <f t="shared" si="3"/>
        <v/>
      </c>
      <c r="K46" s="110">
        <f>IFERROR(((('semi-final'!O52))),"")</f>
        <v>0</v>
      </c>
      <c r="L46" s="110" t="str">
        <f>'semi-final'!R52</f>
        <v xml:space="preserve"> </v>
      </c>
      <c r="M46" s="110" t="str">
        <f t="shared" si="4"/>
        <v/>
      </c>
      <c r="N46" s="110" t="str">
        <f t="shared" si="5"/>
        <v/>
      </c>
      <c r="O46" s="107" t="str">
        <f>IFERROR((((finals!M52+finals!P52))),"")</f>
        <v/>
      </c>
      <c r="P46" s="107" t="str">
        <f>IFERROR((((finals!S52))),"")</f>
        <v xml:space="preserve"> </v>
      </c>
      <c r="Q46" s="108" t="str">
        <f t="shared" si="6"/>
        <v/>
      </c>
      <c r="R46" s="109" t="str">
        <f t="shared" si="7"/>
        <v/>
      </c>
      <c r="S46" s="111" t="str">
        <f t="shared" si="8"/>
        <v/>
      </c>
      <c r="T46" s="112" t="str">
        <f t="shared" si="9"/>
        <v>P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spans="1:43" ht="15.75" customHeight="1">
      <c r="A47" s="106">
        <f>prelim!A53</f>
        <v>0</v>
      </c>
      <c r="B47" s="43">
        <f>prelim!B53</f>
        <v>0</v>
      </c>
      <c r="C47" s="107">
        <f>IFERROR((((prelim!O53))),"")</f>
        <v>0</v>
      </c>
      <c r="D47" s="107" t="str">
        <f>IFERROR((((prelim!R53))),"")</f>
        <v xml:space="preserve"> </v>
      </c>
      <c r="E47" s="108" t="str">
        <f t="shared" si="0"/>
        <v/>
      </c>
      <c r="F47" s="109" t="str">
        <f t="shared" si="1"/>
        <v/>
      </c>
      <c r="G47" s="107">
        <f>IFERROR((((midterm!O53))),"")</f>
        <v>0</v>
      </c>
      <c r="H47" s="107" t="str">
        <f>IFERROR((((midterm!R53))),"")</f>
        <v xml:space="preserve"> </v>
      </c>
      <c r="I47" s="108" t="str">
        <f t="shared" si="2"/>
        <v/>
      </c>
      <c r="J47" s="109" t="str">
        <f t="shared" si="3"/>
        <v/>
      </c>
      <c r="K47" s="110">
        <f>IFERROR(((('semi-final'!O53))),"")</f>
        <v>0</v>
      </c>
      <c r="L47" s="110" t="str">
        <f>'semi-final'!R53</f>
        <v xml:space="preserve"> </v>
      </c>
      <c r="M47" s="110" t="str">
        <f t="shared" si="4"/>
        <v/>
      </c>
      <c r="N47" s="110" t="str">
        <f t="shared" si="5"/>
        <v/>
      </c>
      <c r="O47" s="107" t="str">
        <f>IFERROR((((finals!M53+finals!P53))),"")</f>
        <v/>
      </c>
      <c r="P47" s="107" t="str">
        <f>IFERROR((((finals!S53))),"")</f>
        <v xml:space="preserve"> </v>
      </c>
      <c r="Q47" s="108" t="str">
        <f t="shared" si="6"/>
        <v/>
      </c>
      <c r="R47" s="109" t="str">
        <f t="shared" si="7"/>
        <v/>
      </c>
      <c r="S47" s="111" t="str">
        <f t="shared" si="8"/>
        <v/>
      </c>
      <c r="T47" s="112" t="str">
        <f t="shared" si="9"/>
        <v>P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spans="1:43" ht="15.75" customHeight="1">
      <c r="A48" s="106">
        <f>prelim!A54</f>
        <v>0</v>
      </c>
      <c r="B48" s="43">
        <f>prelim!B54</f>
        <v>0</v>
      </c>
      <c r="C48" s="107">
        <f>IFERROR((((prelim!O54))),"")</f>
        <v>0</v>
      </c>
      <c r="D48" s="107" t="str">
        <f>IFERROR((((prelim!R54))),"")</f>
        <v xml:space="preserve"> </v>
      </c>
      <c r="E48" s="108" t="str">
        <f t="shared" si="0"/>
        <v/>
      </c>
      <c r="F48" s="109" t="str">
        <f t="shared" si="1"/>
        <v/>
      </c>
      <c r="G48" s="107">
        <f>IFERROR((((midterm!O54))),"")</f>
        <v>0</v>
      </c>
      <c r="H48" s="107" t="str">
        <f>IFERROR((((midterm!R54))),"")</f>
        <v xml:space="preserve"> </v>
      </c>
      <c r="I48" s="108" t="str">
        <f t="shared" si="2"/>
        <v/>
      </c>
      <c r="J48" s="109" t="str">
        <f t="shared" si="3"/>
        <v/>
      </c>
      <c r="K48" s="110">
        <f>IFERROR(((('semi-final'!O54))),"")</f>
        <v>0</v>
      </c>
      <c r="L48" s="110" t="str">
        <f>'semi-final'!R54</f>
        <v xml:space="preserve"> </v>
      </c>
      <c r="M48" s="110" t="str">
        <f t="shared" si="4"/>
        <v/>
      </c>
      <c r="N48" s="110" t="str">
        <f t="shared" si="5"/>
        <v/>
      </c>
      <c r="O48" s="107" t="str">
        <f>IFERROR((((finals!M54+finals!P54))),"")</f>
        <v/>
      </c>
      <c r="P48" s="107" t="str">
        <f>IFERROR((((finals!S54))),"")</f>
        <v xml:space="preserve"> </v>
      </c>
      <c r="Q48" s="108" t="str">
        <f t="shared" si="6"/>
        <v/>
      </c>
      <c r="R48" s="109" t="str">
        <f t="shared" si="7"/>
        <v/>
      </c>
      <c r="S48" s="111" t="str">
        <f t="shared" si="8"/>
        <v/>
      </c>
      <c r="T48" s="112" t="str">
        <f t="shared" si="9"/>
        <v>P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spans="1:43" ht="15.75" customHeight="1">
      <c r="A49" s="106">
        <f>prelim!A55</f>
        <v>0</v>
      </c>
      <c r="B49" s="43">
        <f>prelim!B55</f>
        <v>0</v>
      </c>
      <c r="C49" s="107">
        <f>IFERROR((((prelim!O55))),"")</f>
        <v>0</v>
      </c>
      <c r="D49" s="107" t="str">
        <f>IFERROR((((prelim!R55))),"")</f>
        <v xml:space="preserve"> </v>
      </c>
      <c r="E49" s="108" t="str">
        <f t="shared" si="0"/>
        <v/>
      </c>
      <c r="F49" s="109" t="str">
        <f t="shared" si="1"/>
        <v/>
      </c>
      <c r="G49" s="107">
        <f>IFERROR((((midterm!O55))),"")</f>
        <v>0</v>
      </c>
      <c r="H49" s="107" t="str">
        <f>IFERROR((((midterm!R55))),"")</f>
        <v xml:space="preserve"> </v>
      </c>
      <c r="I49" s="108" t="str">
        <f t="shared" si="2"/>
        <v/>
      </c>
      <c r="J49" s="109" t="str">
        <f t="shared" si="3"/>
        <v/>
      </c>
      <c r="K49" s="110">
        <f>IFERROR(((('semi-final'!O55))),"")</f>
        <v>0</v>
      </c>
      <c r="L49" s="110" t="str">
        <f>'semi-final'!R55</f>
        <v xml:space="preserve"> </v>
      </c>
      <c r="M49" s="110" t="str">
        <f t="shared" si="4"/>
        <v/>
      </c>
      <c r="N49" s="110" t="str">
        <f t="shared" si="5"/>
        <v/>
      </c>
      <c r="O49" s="107" t="str">
        <f>IFERROR((((finals!M55+finals!P55))),"")</f>
        <v/>
      </c>
      <c r="P49" s="107" t="str">
        <f>IFERROR((((finals!S55))),"")</f>
        <v xml:space="preserve"> </v>
      </c>
      <c r="Q49" s="108" t="str">
        <f t="shared" si="6"/>
        <v/>
      </c>
      <c r="R49" s="109" t="str">
        <f t="shared" si="7"/>
        <v/>
      </c>
      <c r="S49" s="111" t="str">
        <f t="shared" si="8"/>
        <v/>
      </c>
      <c r="T49" s="112" t="str">
        <f t="shared" si="9"/>
        <v>P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spans="1:43" ht="15.75" customHeight="1">
      <c r="A50" s="106">
        <f>prelim!A56</f>
        <v>0</v>
      </c>
      <c r="B50" s="43">
        <f>prelim!B56</f>
        <v>0</v>
      </c>
      <c r="C50" s="107">
        <f>IFERROR((((prelim!O56))),"")</f>
        <v>0</v>
      </c>
      <c r="D50" s="107" t="str">
        <f>IFERROR((((prelim!R56))),"")</f>
        <v xml:space="preserve"> </v>
      </c>
      <c r="E50" s="108" t="str">
        <f t="shared" si="0"/>
        <v/>
      </c>
      <c r="F50" s="109" t="str">
        <f t="shared" si="1"/>
        <v/>
      </c>
      <c r="G50" s="107">
        <f>IFERROR((((midterm!O56))),"")</f>
        <v>0</v>
      </c>
      <c r="H50" s="107" t="str">
        <f>IFERROR((((midterm!R56))),"")</f>
        <v xml:space="preserve"> </v>
      </c>
      <c r="I50" s="108" t="str">
        <f t="shared" si="2"/>
        <v/>
      </c>
      <c r="J50" s="109" t="str">
        <f t="shared" si="3"/>
        <v/>
      </c>
      <c r="K50" s="110">
        <f>IFERROR(((('semi-final'!O56))),"")</f>
        <v>0</v>
      </c>
      <c r="L50" s="110" t="str">
        <f>'semi-final'!R56</f>
        <v xml:space="preserve"> </v>
      </c>
      <c r="M50" s="110" t="str">
        <f t="shared" si="4"/>
        <v/>
      </c>
      <c r="N50" s="110" t="str">
        <f t="shared" si="5"/>
        <v/>
      </c>
      <c r="O50" s="107" t="str">
        <f>IFERROR((((finals!M56+finals!P56))),"")</f>
        <v/>
      </c>
      <c r="P50" s="107" t="str">
        <f>IFERROR((((finals!S56))),"")</f>
        <v xml:space="preserve"> </v>
      </c>
      <c r="Q50" s="108" t="str">
        <f t="shared" si="6"/>
        <v/>
      </c>
      <c r="R50" s="109" t="str">
        <f t="shared" si="7"/>
        <v/>
      </c>
      <c r="S50" s="111" t="str">
        <f t="shared" si="8"/>
        <v/>
      </c>
      <c r="T50" s="112" t="str">
        <f t="shared" si="9"/>
        <v>P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spans="1:43" ht="15.75" customHeight="1">
      <c r="A51" s="139" t="s">
        <v>45</v>
      </c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spans="1:43" ht="15.75" customHeight="1">
      <c r="A52" s="1"/>
      <c r="B52" s="3"/>
      <c r="C52" s="4"/>
      <c r="D52" s="5"/>
      <c r="E52" s="6"/>
      <c r="F52" s="7"/>
      <c r="G52" s="8"/>
      <c r="H52" s="8"/>
      <c r="I52" s="7"/>
      <c r="J52" s="12"/>
      <c r="K52" s="13"/>
      <c r="L52" s="13"/>
      <c r="M52" s="13"/>
      <c r="N52" s="13"/>
      <c r="O52" s="13"/>
      <c r="P52" s="13"/>
      <c r="Q52" s="13"/>
      <c r="R52" s="13"/>
      <c r="S52" s="12"/>
      <c r="T52" s="12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spans="1:43" ht="15.75" customHeight="1">
      <c r="A53" s="122" t="s">
        <v>46</v>
      </c>
      <c r="B53" s="123"/>
      <c r="C53" s="123"/>
      <c r="D53" s="123"/>
      <c r="E53" s="123"/>
      <c r="F53" s="123"/>
      <c r="G53" s="124"/>
      <c r="H53" s="125" t="s">
        <v>47</v>
      </c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spans="1:43" ht="15.75" customHeight="1">
      <c r="A54" s="126" t="s">
        <v>56</v>
      </c>
      <c r="B54" s="128"/>
      <c r="C54" s="128"/>
      <c r="D54" s="128"/>
      <c r="E54" s="128"/>
      <c r="F54" s="128"/>
      <c r="G54" s="128"/>
      <c r="H54" s="129" t="s">
        <v>59</v>
      </c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spans="1:43" ht="15.75" customHeight="1">
      <c r="A55" s="128"/>
      <c r="B55" s="128"/>
      <c r="C55" s="128"/>
      <c r="D55" s="128"/>
      <c r="E55" s="128"/>
      <c r="F55" s="128"/>
      <c r="G55" s="128"/>
      <c r="H55" s="132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spans="1:43" ht="15.75" customHeight="1">
      <c r="A56" s="115" t="s">
        <v>54</v>
      </c>
      <c r="B56" s="123"/>
      <c r="C56" s="123"/>
      <c r="D56" s="123"/>
      <c r="E56" s="123"/>
      <c r="F56" s="123"/>
      <c r="G56" s="124"/>
      <c r="H56" s="115" t="s">
        <v>58</v>
      </c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spans="1:43" ht="15.75" customHeight="1">
      <c r="A57" s="1"/>
      <c r="B57" s="3"/>
      <c r="C57" s="2"/>
      <c r="D57" s="9"/>
      <c r="E57" s="9"/>
      <c r="F57" s="9"/>
      <c r="G57" s="9"/>
      <c r="H57" s="126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9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spans="1:43" ht="15.75" customHeight="1">
      <c r="A58" s="120" t="s">
        <v>48</v>
      </c>
      <c r="B58" s="114"/>
      <c r="C58" s="121" t="s">
        <v>49</v>
      </c>
      <c r="D58" s="114"/>
      <c r="E58" s="121" t="s">
        <v>50</v>
      </c>
      <c r="F58" s="119"/>
      <c r="G58" s="119"/>
      <c r="H58" s="114"/>
      <c r="I58" s="121" t="s">
        <v>51</v>
      </c>
      <c r="J58" s="119"/>
      <c r="K58" s="119"/>
      <c r="L58" s="119"/>
      <c r="M58" s="119"/>
      <c r="N58" s="119"/>
      <c r="O58" s="119"/>
      <c r="P58" s="119"/>
      <c r="Q58" s="119"/>
      <c r="R58" s="121" t="s">
        <v>52</v>
      </c>
      <c r="S58" s="119"/>
      <c r="T58" s="11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spans="1:43" ht="15.75" customHeight="1">
      <c r="A59" s="113">
        <v>1</v>
      </c>
      <c r="B59" s="114"/>
      <c r="C59" s="115">
        <v>1</v>
      </c>
      <c r="D59" s="114"/>
      <c r="E59" s="116">
        <v>45677</v>
      </c>
      <c r="F59" s="117"/>
      <c r="G59" s="117"/>
      <c r="H59" s="118"/>
      <c r="I59" s="115" t="s">
        <v>53</v>
      </c>
      <c r="J59" s="119"/>
      <c r="K59" s="119"/>
      <c r="L59" s="119"/>
      <c r="M59" s="119"/>
      <c r="N59" s="119"/>
      <c r="O59" s="119"/>
      <c r="P59" s="119"/>
      <c r="Q59" s="119"/>
      <c r="R59" s="115">
        <v>1</v>
      </c>
      <c r="S59" s="119"/>
      <c r="T59" s="11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spans="1:43" ht="14.5">
      <c r="A60" s="10"/>
    </row>
    <row r="61" spans="1:43" ht="15.75" customHeight="1">
      <c r="A61" s="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spans="1:43" ht="15.75" customHeight="1">
      <c r="A62" s="1"/>
      <c r="B62" s="11"/>
      <c r="C62" s="11"/>
      <c r="D62" s="11"/>
      <c r="E62" s="11"/>
      <c r="F62" s="11"/>
      <c r="G62" s="11"/>
      <c r="H62" s="11"/>
      <c r="I62" s="11"/>
      <c r="K62" s="11"/>
      <c r="L62" s="11"/>
      <c r="M62" s="11"/>
      <c r="N62" s="11"/>
      <c r="O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spans="1:43" ht="15.75" customHeight="1">
      <c r="A63" s="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spans="1:43" ht="15.75" customHeight="1">
      <c r="A64" s="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spans="1:43" ht="15.75" customHeight="1">
      <c r="A65" s="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spans="1:43" ht="15.75" customHeight="1">
      <c r="A66" s="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spans="1:43" ht="15.75" customHeight="1">
      <c r="A67" s="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spans="1:43" ht="15.75" customHeight="1">
      <c r="A68" s="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spans="1:43" ht="15.75" customHeight="1">
      <c r="A69" s="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spans="1:43" ht="15.75" customHeight="1">
      <c r="A70" s="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spans="1:43" ht="15.75" customHeight="1">
      <c r="A71" s="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spans="1:43" ht="15.75" customHeight="1">
      <c r="A72" s="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spans="1:43" ht="15.75" customHeight="1">
      <c r="A73" s="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spans="1:43" ht="15.75" customHeight="1">
      <c r="A74" s="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spans="1:43" ht="15.75" customHeight="1">
      <c r="A75" s="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spans="1:43" ht="15.75" customHeight="1">
      <c r="A76" s="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spans="1:43" ht="15.75" customHeight="1">
      <c r="A77" s="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spans="1:43" ht="15.75" customHeight="1">
      <c r="A78" s="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spans="1:43" ht="15.75" customHeight="1">
      <c r="A79" s="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spans="1:43" ht="15.75" customHeight="1">
      <c r="A80" s="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spans="1:43" ht="15.75" customHeight="1">
      <c r="A81" s="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spans="1:43" ht="15.75" customHeight="1">
      <c r="A82" s="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spans="1:43" ht="15.75" customHeight="1">
      <c r="A83" s="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spans="1:43" ht="15.75" customHeight="1">
      <c r="A84" s="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spans="1:43" ht="15.75" customHeight="1">
      <c r="A85" s="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spans="1:43" ht="15.75" customHeight="1">
      <c r="A86" s="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spans="1:43" ht="15.75" customHeight="1">
      <c r="A87" s="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spans="1:43" ht="15.75" customHeight="1">
      <c r="A88" s="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spans="1:43" ht="15.75" customHeight="1">
      <c r="A89" s="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spans="1:43" ht="15.75" customHeight="1">
      <c r="A90" s="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spans="1:43" ht="15.75" customHeight="1">
      <c r="A91" s="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spans="1:43" ht="15.75" customHeight="1">
      <c r="A92" s="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spans="1:43" ht="15.75" customHeight="1">
      <c r="A93" s="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spans="1:43" ht="15.75" customHeight="1">
      <c r="A94" s="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spans="1:43" ht="15.75" customHeight="1">
      <c r="A95" s="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spans="1:43" ht="15.75" customHeight="1">
      <c r="A96" s="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spans="1:43" ht="15.75" customHeight="1">
      <c r="A97" s="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spans="1:43" ht="15.75" customHeight="1">
      <c r="A98" s="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spans="1:43" ht="15.75" customHeight="1">
      <c r="A99" s="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spans="1:43" ht="15.75" customHeight="1">
      <c r="A100" s="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spans="1:43" ht="15.75" customHeight="1">
      <c r="A101" s="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spans="1:43" ht="15.75" customHeight="1">
      <c r="A102" s="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spans="1:43" ht="15.75" customHeight="1">
      <c r="A103" s="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spans="1:43" ht="15.75" customHeight="1">
      <c r="A104" s="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spans="1:43" ht="15.75" customHeight="1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spans="1:43" ht="15.75" customHeight="1">
      <c r="A106" s="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spans="1:43" ht="15.75" customHeight="1">
      <c r="A107" s="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spans="1:43" ht="15.75" customHeight="1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spans="1:43" ht="15.75" customHeight="1">
      <c r="A109" s="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spans="1:43" ht="15.75" customHeight="1">
      <c r="A110" s="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spans="1:43" ht="15.75" customHeight="1">
      <c r="A111" s="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spans="1:43" ht="15.75" customHeight="1">
      <c r="A112" s="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spans="1:43" ht="15.75" customHeight="1">
      <c r="A113" s="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spans="1:43" ht="15.75" customHeight="1">
      <c r="A114" s="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spans="1:43" ht="15.75" customHeight="1">
      <c r="A115" s="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spans="1:43" ht="15.75" customHeight="1">
      <c r="A116" s="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spans="1:43" ht="15.75" customHeight="1">
      <c r="A117" s="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spans="1:43" ht="15.75" customHeight="1">
      <c r="A118" s="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spans="1:43" ht="15.75" customHeight="1">
      <c r="A119" s="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spans="1:43" ht="15.75" customHeight="1">
      <c r="A120" s="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spans="1:43" ht="15.75" customHeight="1">
      <c r="A121" s="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spans="1:43" ht="15.75" customHeight="1">
      <c r="A122" s="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spans="1:43" ht="15.75" customHeight="1">
      <c r="A123" s="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spans="1:43" ht="15.75" customHeight="1">
      <c r="A124" s="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spans="1:43" ht="15.75" customHeight="1">
      <c r="A125" s="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spans="1:43" ht="15.75" customHeight="1">
      <c r="A126" s="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spans="1:43" ht="15.75" customHeight="1">
      <c r="A127" s="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spans="1:43" ht="15.75" customHeight="1">
      <c r="A128" s="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spans="1:43" ht="15.75" customHeight="1">
      <c r="A129" s="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spans="1:43" ht="15.75" customHeight="1">
      <c r="A130" s="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spans="1:43" ht="15.75" customHeight="1">
      <c r="A131" s="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spans="1:43" ht="15.75" customHeight="1">
      <c r="A132" s="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spans="1:43" ht="15.75" customHeight="1">
      <c r="A133" s="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spans="1:43" ht="15.75" customHeight="1">
      <c r="A134" s="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spans="1:43" ht="15.75" customHeight="1">
      <c r="A135" s="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spans="1:43" ht="15.75" customHeight="1">
      <c r="A136" s="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spans="1:43" ht="15.75" customHeight="1">
      <c r="A137" s="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spans="1:43" ht="15.75" customHeight="1">
      <c r="A138" s="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spans="1:43" ht="15.75" customHeight="1">
      <c r="A139" s="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spans="1:43" ht="15.75" customHeight="1">
      <c r="A140" s="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spans="1:43" ht="15.75" customHeight="1">
      <c r="A141" s="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spans="1:43" ht="15.75" customHeight="1">
      <c r="A142" s="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spans="1:43" ht="15.75" customHeight="1">
      <c r="A143" s="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spans="1:43" ht="15.75" customHeight="1">
      <c r="A144" s="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spans="1:43" ht="15.75" customHeight="1">
      <c r="A145" s="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spans="1:43" ht="15.75" customHeight="1">
      <c r="A146" s="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spans="1:43" ht="15.75" customHeight="1">
      <c r="A147" s="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spans="1:43" ht="15.75" customHeight="1">
      <c r="A148" s="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spans="1:43" ht="15.75" customHeight="1">
      <c r="A149" s="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spans="1:43" ht="15.75" customHeight="1">
      <c r="A150" s="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spans="1:43" ht="15.75" customHeight="1">
      <c r="A151" s="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spans="1:43" ht="15.75" customHeight="1">
      <c r="A152" s="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spans="1:43" ht="15.75" customHeight="1">
      <c r="A153" s="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spans="1:43" ht="15.75" customHeight="1">
      <c r="A154" s="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spans="1:43" ht="15.75" customHeight="1">
      <c r="A155" s="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spans="1:43" ht="15.75" customHeight="1">
      <c r="A156" s="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spans="1:43" ht="15.75" customHeight="1">
      <c r="A157" s="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spans="1:43" ht="15.75" customHeight="1">
      <c r="A158" s="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spans="1:43" ht="15.75" customHeight="1">
      <c r="A159" s="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spans="1:43" ht="15.75" customHeight="1">
      <c r="A160" s="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spans="1:43" ht="15.75" customHeight="1">
      <c r="A161" s="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spans="1:43" ht="15.75" customHeight="1">
      <c r="A162" s="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spans="1:43" ht="15.75" customHeight="1">
      <c r="A163" s="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spans="1:43" ht="15.75" customHeight="1">
      <c r="A164" s="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spans="1:43" ht="15.75" customHeight="1">
      <c r="A165" s="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spans="1:43" ht="15.75" customHeight="1">
      <c r="A166" s="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spans="1:43" ht="15.75" customHeight="1">
      <c r="A167" s="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spans="1:43" ht="15.75" customHeight="1">
      <c r="A168" s="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spans="1:43" ht="15.75" customHeight="1">
      <c r="A169" s="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spans="1:43" ht="15.75" customHeight="1">
      <c r="A170" s="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spans="1:43" ht="15.75" customHeight="1">
      <c r="A171" s="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spans="1:43" ht="15.75" customHeight="1">
      <c r="A172" s="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spans="1:43" ht="15.75" customHeight="1">
      <c r="A173" s="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spans="1:43" ht="15.75" customHeight="1">
      <c r="A174" s="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spans="1:43" ht="15.75" customHeight="1">
      <c r="A175" s="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spans="1:43" ht="15.75" customHeight="1">
      <c r="A176" s="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spans="1:43" ht="15.75" customHeight="1">
      <c r="A177" s="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spans="1:43" ht="15.75" customHeight="1">
      <c r="A178" s="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spans="1:43" ht="15.75" customHeight="1">
      <c r="A179" s="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spans="1:43" ht="15.75" customHeight="1">
      <c r="A180" s="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spans="1:43" ht="15.75" customHeight="1">
      <c r="A181" s="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spans="1:43" ht="15.75" customHeight="1">
      <c r="A182" s="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spans="1:43" ht="15.75" customHeight="1">
      <c r="A183" s="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spans="1:43" ht="15.75" customHeight="1">
      <c r="A184" s="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spans="1:43" ht="15.75" customHeight="1">
      <c r="A185" s="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spans="1:43" ht="15.75" customHeight="1">
      <c r="A186" s="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spans="1:43" ht="15.75" customHeight="1">
      <c r="A187" s="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spans="1:43" ht="15.75" customHeight="1">
      <c r="A188" s="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spans="1:43" ht="15.75" customHeight="1">
      <c r="A189" s="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spans="1:43" ht="15.75" customHeight="1">
      <c r="A190" s="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spans="1:43" ht="15.75" customHeight="1">
      <c r="A191" s="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spans="1:43" ht="15.75" customHeight="1">
      <c r="A192" s="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spans="1:43" ht="15.75" customHeight="1">
      <c r="A193" s="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spans="1:43" ht="15.75" customHeight="1">
      <c r="A194" s="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spans="1:43" ht="15.75" customHeight="1">
      <c r="A195" s="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spans="1:43" ht="15.75" customHeight="1">
      <c r="A196" s="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spans="1:43" ht="15.75" customHeight="1">
      <c r="A197" s="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spans="1:43" ht="15.75" customHeight="1">
      <c r="A198" s="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spans="1:43" ht="15.75" customHeight="1">
      <c r="A199" s="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spans="1:43" ht="15.75" customHeight="1">
      <c r="A200" s="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spans="1:43" ht="15.75" customHeight="1">
      <c r="A201" s="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spans="1:43" ht="15.75" customHeight="1">
      <c r="A202" s="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spans="1:43" ht="15.75" customHeight="1">
      <c r="A203" s="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spans="1:43" ht="15.75" customHeight="1">
      <c r="A204" s="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spans="1:43" ht="15.75" customHeight="1">
      <c r="A205" s="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spans="1:43" ht="15.75" customHeight="1">
      <c r="A206" s="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spans="1:43" ht="15.75" customHeight="1">
      <c r="A207" s="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spans="1:43" ht="15.75" customHeight="1">
      <c r="A208" s="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spans="1:43" ht="15.75" customHeight="1">
      <c r="A209" s="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spans="1:43" ht="15.75" customHeight="1">
      <c r="A210" s="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spans="1:43" ht="15.75" customHeight="1">
      <c r="A211" s="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spans="1:43" ht="15.75" customHeight="1">
      <c r="A212" s="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spans="1:43" ht="15.75" customHeight="1">
      <c r="A213" s="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spans="1:43" ht="15.75" customHeight="1">
      <c r="A214" s="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spans="1:43" ht="15.75" customHeight="1">
      <c r="A215" s="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spans="1:43" ht="15.75" customHeight="1">
      <c r="A216" s="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spans="1:43" ht="15.75" customHeight="1">
      <c r="A217" s="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spans="1:43" ht="15.75" customHeight="1">
      <c r="A218" s="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spans="1:43" ht="15.75" customHeight="1">
      <c r="A219" s="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spans="1:43" ht="15.75" customHeight="1">
      <c r="A220" s="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spans="1:43" ht="15.75" customHeight="1">
      <c r="A221" s="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spans="1:43" ht="15.75" customHeight="1">
      <c r="A222" s="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spans="1:43" ht="15.75" customHeight="1">
      <c r="A223" s="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spans="1:43" ht="15.75" customHeight="1">
      <c r="A224" s="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spans="1:43" ht="15.75" customHeight="1">
      <c r="A225" s="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spans="1:43" ht="15.75" customHeight="1">
      <c r="A226" s="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spans="1:43" ht="15.75" customHeight="1">
      <c r="A227" s="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spans="1:43" ht="15.75" customHeight="1">
      <c r="A228" s="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spans="1:43" ht="15.75" customHeight="1">
      <c r="A229" s="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spans="1:43" ht="15.75" customHeight="1">
      <c r="A230" s="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spans="1:43" ht="15.75" customHeight="1">
      <c r="A231" s="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spans="1:43" ht="15.75" customHeight="1">
      <c r="A232" s="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spans="1:43" ht="15.75" customHeight="1">
      <c r="A233" s="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spans="1:43" ht="15.75" customHeight="1">
      <c r="A234" s="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spans="1:43" ht="15.75" customHeight="1">
      <c r="A235" s="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spans="1:43" ht="15.75" customHeight="1">
      <c r="A236" s="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spans="1:43" ht="15.75" customHeight="1">
      <c r="A237" s="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spans="1:43" ht="15.75" customHeight="1">
      <c r="A238" s="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spans="1:43" ht="15.75" customHeight="1">
      <c r="A239" s="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spans="1:43" ht="15.75" customHeight="1">
      <c r="A240" s="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spans="1:43" ht="15.75" customHeight="1">
      <c r="A241" s="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spans="1:43" ht="15.75" customHeight="1">
      <c r="A242" s="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spans="1:43" ht="15.75" customHeight="1">
      <c r="A243" s="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spans="1:43" ht="15.75" customHeight="1">
      <c r="A244" s="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spans="1:43" ht="15.75" customHeight="1">
      <c r="A245" s="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spans="1:43" ht="15.75" customHeight="1">
      <c r="A246" s="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spans="1:43" ht="15.75" customHeight="1">
      <c r="A247" s="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spans="1:43" ht="15.75" customHeight="1">
      <c r="A248" s="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spans="1:43" ht="15.75" customHeight="1">
      <c r="A249" s="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spans="1:43" ht="15.75" customHeight="1">
      <c r="A250" s="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spans="1:43" ht="15.75" customHeight="1">
      <c r="A251" s="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spans="1:43" ht="15.75" customHeight="1">
      <c r="A252" s="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spans="1:43" ht="15.75" customHeight="1">
      <c r="A253" s="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spans="1:43" ht="15.75" customHeight="1">
      <c r="A254" s="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spans="1:43" ht="15.75" customHeight="1">
      <c r="A255" s="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spans="1:43" ht="15.75" customHeight="1">
      <c r="A256" s="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spans="1:43" ht="15.75" customHeight="1">
      <c r="A257" s="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spans="1:43" ht="15.75" customHeight="1">
      <c r="A258" s="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spans="1:43" ht="15.75" customHeight="1">
      <c r="A259" s="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spans="1:43" ht="15.75" customHeight="1">
      <c r="A260" s="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spans="1:43" ht="15.75" customHeight="1">
      <c r="A261" s="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spans="1:43" ht="15.75" customHeight="1">
      <c r="A262" s="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spans="1:43" ht="15.75" customHeight="1">
      <c r="A263" s="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spans="1:43" ht="15.75" customHeight="1">
      <c r="A264" s="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spans="1:43" ht="15.75" customHeight="1">
      <c r="A265" s="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spans="1:43" ht="15.75" customHeight="1">
      <c r="A266" s="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spans="1:43" ht="15.75" customHeight="1">
      <c r="A267" s="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spans="1:43" ht="15.75" customHeight="1">
      <c r="A268" s="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spans="1:43" ht="15.75" customHeight="1">
      <c r="A269" s="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spans="1:43" ht="15.75" customHeight="1">
      <c r="A270" s="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spans="1:43" ht="15.75" customHeight="1">
      <c r="A271" s="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spans="1:43" ht="15.75" customHeight="1">
      <c r="A272" s="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spans="1:43" ht="15.75" customHeight="1">
      <c r="A273" s="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spans="1:43" ht="15.75" customHeight="1">
      <c r="A274" s="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spans="1:43" ht="15.75" customHeight="1">
      <c r="A275" s="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spans="1:43" ht="15.75" customHeight="1">
      <c r="A276" s="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spans="1:43" ht="15.75" customHeight="1">
      <c r="A277" s="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spans="1:43" ht="15.75" customHeight="1">
      <c r="A278" s="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spans="1:43" ht="15.75" customHeight="1">
      <c r="A279" s="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spans="1:43" ht="15.75" customHeight="1">
      <c r="A280" s="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spans="1:43" ht="15.75" customHeight="1">
      <c r="A281" s="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spans="1:43" ht="15.75" customHeight="1">
      <c r="A282" s="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spans="1:43" ht="15.75" customHeight="1">
      <c r="A283" s="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spans="1:43" ht="15.75" customHeight="1">
      <c r="A284" s="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spans="1:43" ht="15.75" customHeight="1">
      <c r="A285" s="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spans="1:43" ht="15.75" customHeight="1">
      <c r="A286" s="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spans="1:43" ht="15.75" customHeight="1">
      <c r="A287" s="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spans="1:43" ht="15.75" customHeight="1">
      <c r="A288" s="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spans="1:43" ht="15.75" customHeight="1">
      <c r="A289" s="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spans="1:43" ht="15.75" customHeight="1">
      <c r="A290" s="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spans="1:43" ht="15.75" customHeight="1">
      <c r="A291" s="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spans="1:43" ht="15.75" customHeight="1">
      <c r="A292" s="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spans="1:43" ht="15.75" customHeight="1">
      <c r="A293" s="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spans="1:43" ht="15.75" customHeight="1">
      <c r="A294" s="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spans="1:43" ht="15.75" customHeight="1">
      <c r="A295" s="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spans="1:43" ht="15.75" customHeight="1">
      <c r="A296" s="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spans="1:43" ht="15.75" customHeight="1">
      <c r="A297" s="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spans="1:43" ht="15.75" customHeight="1">
      <c r="A298" s="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spans="1:43" ht="15.75" customHeight="1">
      <c r="A299" s="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spans="1:43" ht="15.75" customHeight="1">
      <c r="A300" s="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spans="1:43" ht="15.75" customHeight="1">
      <c r="A301" s="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spans="1:43" ht="15.75" customHeight="1">
      <c r="A302" s="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spans="1:43" ht="15.75" customHeight="1">
      <c r="A303" s="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spans="1:43" ht="15.75" customHeight="1">
      <c r="A304" s="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spans="1:43" ht="15.75" customHeight="1">
      <c r="A305" s="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spans="1:43" ht="15.75" customHeight="1">
      <c r="A306" s="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spans="1:43" ht="15.75" customHeight="1">
      <c r="A307" s="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spans="1:43" ht="15.75" customHeight="1">
      <c r="A308" s="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spans="1:43" ht="15.75" customHeight="1">
      <c r="A309" s="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spans="1:43" ht="15.75" customHeight="1">
      <c r="A310" s="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spans="1:43" ht="15.75" customHeight="1">
      <c r="A311" s="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spans="1:43" ht="15.75" customHeight="1">
      <c r="A312" s="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spans="1:43" ht="15.75" customHeight="1">
      <c r="A313" s="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spans="1:43" ht="15.75" customHeight="1">
      <c r="A314" s="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spans="1:43" ht="15.75" customHeight="1">
      <c r="A315" s="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spans="1:43" ht="15.75" customHeight="1">
      <c r="A316" s="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spans="1:43" ht="15.75" customHeight="1">
      <c r="A317" s="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spans="1:43" ht="15.75" customHeight="1">
      <c r="A318" s="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spans="1:43" ht="15.75" customHeight="1">
      <c r="A319" s="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spans="1:43" ht="15.75" customHeight="1">
      <c r="A320" s="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spans="1:43" ht="15.75" customHeight="1">
      <c r="A321" s="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spans="1:43" ht="15.75" customHeight="1">
      <c r="A322" s="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spans="1:43" ht="15.75" customHeight="1">
      <c r="A323" s="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spans="1:43" ht="15.75" customHeight="1">
      <c r="A324" s="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spans="1:43" ht="15.75" customHeight="1">
      <c r="A325" s="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spans="1:43" ht="15.75" customHeight="1">
      <c r="A326" s="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spans="1:43" ht="15.75" customHeight="1">
      <c r="A327" s="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spans="1:43" ht="15.75" customHeight="1">
      <c r="A328" s="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spans="1:43" ht="15.75" customHeight="1">
      <c r="A329" s="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spans="1:43" ht="15.75" customHeight="1">
      <c r="A330" s="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spans="1:43" ht="15.75" customHeight="1">
      <c r="A331" s="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spans="1:43" ht="15.75" customHeight="1">
      <c r="A332" s="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spans="1:43" ht="15.75" customHeight="1">
      <c r="A333" s="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spans="1:43" ht="15.75" customHeight="1">
      <c r="A334" s="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spans="1:43" ht="15.75" customHeight="1">
      <c r="A335" s="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spans="1:43" ht="15.75" customHeight="1">
      <c r="A336" s="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spans="1:43" ht="15.75" customHeight="1">
      <c r="A337" s="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spans="1:43" ht="15.75" customHeight="1">
      <c r="A338" s="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spans="1:43" ht="15.75" customHeight="1">
      <c r="A339" s="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spans="1:43" ht="15.75" customHeight="1">
      <c r="A340" s="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spans="1:43" ht="15.75" customHeight="1">
      <c r="A341" s="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spans="1:43" ht="15.75" customHeight="1">
      <c r="A342" s="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spans="1:43" ht="15.75" customHeight="1">
      <c r="A343" s="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spans="1:43" ht="15.75" customHeight="1">
      <c r="A344" s="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spans="1:43" ht="15.75" customHeight="1">
      <c r="A345" s="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spans="1:43" ht="15.75" customHeight="1">
      <c r="A346" s="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spans="1:43" ht="15.75" customHeight="1">
      <c r="A347" s="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spans="1:43" ht="15.75" customHeight="1">
      <c r="A348" s="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spans="1:43" ht="15.75" customHeight="1">
      <c r="A349" s="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spans="1:43" ht="15.75" customHeight="1">
      <c r="A350" s="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spans="1:43" ht="15.75" customHeight="1">
      <c r="A351" s="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spans="1:43" ht="15.75" customHeight="1">
      <c r="A352" s="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spans="1:43" ht="15.75" customHeight="1">
      <c r="A353" s="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spans="1:43" ht="15.75" customHeight="1">
      <c r="A354" s="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spans="1:43" ht="15.75" customHeight="1">
      <c r="A355" s="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spans="1:43" ht="15.75" customHeight="1">
      <c r="A356" s="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spans="1:43" ht="15.75" customHeight="1">
      <c r="A357" s="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spans="1:43" ht="15.75" customHeight="1">
      <c r="A358" s="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spans="1:43" ht="15.75" customHeight="1">
      <c r="A359" s="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spans="1:43" ht="15.75" customHeight="1">
      <c r="A360" s="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spans="1:43" ht="15.75" customHeight="1">
      <c r="A361" s="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spans="1:43" ht="15.75" customHeight="1">
      <c r="A362" s="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spans="1:43" ht="15.75" customHeight="1">
      <c r="A363" s="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spans="1:43" ht="15.75" customHeight="1">
      <c r="A364" s="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spans="1:43" ht="15.75" customHeight="1">
      <c r="A365" s="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spans="1:43" ht="15.75" customHeight="1">
      <c r="A366" s="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spans="1:43" ht="15.75" customHeight="1">
      <c r="A367" s="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spans="1:43" ht="15.75" customHeight="1">
      <c r="A368" s="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spans="1:43" ht="15.75" customHeight="1">
      <c r="A369" s="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spans="1:43" ht="15.75" customHeight="1">
      <c r="A370" s="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spans="1:43" ht="15.75" customHeight="1">
      <c r="A371" s="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spans="1:43" ht="15.75" customHeight="1">
      <c r="A372" s="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spans="1:43" ht="15.75" customHeight="1">
      <c r="A373" s="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spans="1:43" ht="15.75" customHeight="1">
      <c r="A374" s="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spans="1:43" ht="15.75" customHeight="1">
      <c r="A375" s="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spans="1:43" ht="15.75" customHeight="1">
      <c r="A376" s="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spans="1:43" ht="15.75" customHeight="1">
      <c r="A377" s="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spans="1:43" ht="15.75" customHeight="1">
      <c r="A378" s="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spans="1:43" ht="15.75" customHeight="1">
      <c r="A379" s="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spans="1:43" ht="15.75" customHeight="1">
      <c r="A380" s="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spans="1:43" ht="15.75" customHeight="1">
      <c r="A381" s="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spans="1:43" ht="15.75" customHeight="1">
      <c r="A382" s="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spans="1:43" ht="15.75" customHeight="1">
      <c r="A383" s="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spans="1:43" ht="15.75" customHeight="1">
      <c r="A384" s="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spans="1:43" ht="15.75" customHeight="1">
      <c r="A385" s="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spans="1:43" ht="15.75" customHeight="1">
      <c r="A386" s="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spans="1:43" ht="15.75" customHeight="1">
      <c r="A387" s="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spans="1:43" ht="15.75" customHeight="1">
      <c r="A388" s="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spans="1:43" ht="15.75" customHeight="1">
      <c r="A389" s="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spans="1:43" ht="15.75" customHeight="1">
      <c r="A390" s="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spans="1:43" ht="15.75" customHeight="1">
      <c r="A391" s="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spans="1:43" ht="15.75" customHeight="1">
      <c r="A392" s="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spans="1:43" ht="15.75" customHeight="1">
      <c r="A393" s="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spans="1:43" ht="15.75" customHeight="1">
      <c r="A394" s="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spans="1:43" ht="15.75" customHeight="1">
      <c r="A395" s="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spans="1:43" ht="15.75" customHeight="1">
      <c r="A396" s="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spans="1:43" ht="15.75" customHeight="1">
      <c r="A397" s="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spans="1:43" ht="15.75" customHeight="1">
      <c r="A398" s="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spans="1:43" ht="15.75" customHeight="1">
      <c r="A399" s="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spans="1:43" ht="15.75" customHeight="1">
      <c r="A400" s="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spans="1:43" ht="15.75" customHeight="1">
      <c r="A401" s="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spans="1:43" ht="15.75" customHeight="1">
      <c r="A402" s="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spans="1:43" ht="15.75" customHeight="1">
      <c r="A403" s="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spans="1:43" ht="15.75" customHeight="1">
      <c r="A404" s="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spans="1:43" ht="15.75" customHeight="1">
      <c r="A405" s="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spans="1:43" ht="15.75" customHeight="1">
      <c r="A406" s="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spans="1:43" ht="15.75" customHeight="1">
      <c r="A407" s="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spans="1:43" ht="15.75" customHeight="1">
      <c r="A408" s="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spans="1:43" ht="15.75" customHeight="1">
      <c r="A409" s="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spans="1:43" ht="15.75" customHeight="1">
      <c r="A410" s="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spans="1:43" ht="15.75" customHeight="1">
      <c r="A411" s="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spans="1:43" ht="15.75" customHeight="1">
      <c r="A412" s="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spans="1:43" ht="15.75" customHeight="1">
      <c r="A413" s="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spans="1:43" ht="15.75" customHeight="1">
      <c r="A414" s="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spans="1:43" ht="15.75" customHeight="1">
      <c r="A415" s="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spans="1:43" ht="15.75" customHeight="1">
      <c r="A416" s="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spans="1:43" ht="15.75" customHeight="1">
      <c r="A417" s="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spans="1:43" ht="15.75" customHeight="1">
      <c r="A418" s="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spans="1:43" ht="15.75" customHeight="1">
      <c r="A419" s="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spans="1:43" ht="15.75" customHeight="1">
      <c r="A420" s="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spans="1:43" ht="15.75" customHeight="1">
      <c r="A421" s="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spans="1:43" ht="15.75" customHeight="1">
      <c r="A422" s="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spans="1:43" ht="15.75" customHeight="1">
      <c r="A423" s="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spans="1:43" ht="15.75" customHeight="1">
      <c r="A424" s="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spans="1:43" ht="15.75" customHeight="1">
      <c r="A425" s="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spans="1:43" ht="15.75" customHeight="1">
      <c r="A426" s="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spans="1:43" ht="15.75" customHeight="1">
      <c r="A427" s="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spans="1:43" ht="15.75" customHeight="1">
      <c r="A428" s="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spans="1:43" ht="15.75" customHeight="1">
      <c r="A429" s="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spans="1:43" ht="15.75" customHeight="1">
      <c r="A430" s="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spans="1:43" ht="15.75" customHeight="1">
      <c r="A431" s="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spans="1:43" ht="15.75" customHeight="1">
      <c r="A432" s="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spans="1:43" ht="15.75" customHeight="1">
      <c r="A433" s="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spans="1:43" ht="15.75" customHeight="1">
      <c r="A434" s="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spans="1:43" ht="15.75" customHeight="1">
      <c r="A435" s="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spans="1:43" ht="15.75" customHeight="1">
      <c r="A436" s="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spans="1:43" ht="15.75" customHeight="1">
      <c r="A437" s="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spans="1:43" ht="15.75" customHeight="1">
      <c r="A438" s="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spans="1:43" ht="15.75" customHeight="1">
      <c r="A439" s="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spans="1:43" ht="15.75" customHeight="1">
      <c r="A440" s="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spans="1:43" ht="15.75" customHeight="1">
      <c r="A441" s="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spans="1:43" ht="15.75" customHeight="1">
      <c r="A442" s="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spans="1:43" ht="15.75" customHeight="1">
      <c r="A443" s="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spans="1:43" ht="15.75" customHeight="1">
      <c r="A444" s="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spans="1:43" ht="15.75" customHeight="1">
      <c r="A445" s="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spans="1:43" ht="15.75" customHeight="1">
      <c r="A446" s="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spans="1:43" ht="15.75" customHeight="1">
      <c r="A447" s="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spans="1:43" ht="15.75" customHeight="1">
      <c r="A448" s="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spans="1:43" ht="15.75" customHeight="1">
      <c r="A449" s="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spans="1:43" ht="15.75" customHeight="1">
      <c r="A450" s="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spans="1:43" ht="15.75" customHeight="1">
      <c r="A451" s="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spans="1:43" ht="15.75" customHeight="1">
      <c r="A452" s="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spans="1:43" ht="15.75" customHeight="1">
      <c r="A453" s="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spans="1:43" ht="15.75" customHeight="1">
      <c r="A454" s="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spans="1:43" ht="15.75" customHeight="1">
      <c r="A455" s="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spans="1:43" ht="15.75" customHeight="1">
      <c r="A456" s="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spans="1:43" ht="15.75" customHeight="1">
      <c r="A457" s="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spans="1:43" ht="15.75" customHeight="1">
      <c r="A458" s="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spans="1:43" ht="15.75" customHeight="1">
      <c r="A459" s="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spans="1:43" ht="15.75" customHeight="1">
      <c r="A460" s="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spans="1:43" ht="15.75" customHeight="1">
      <c r="A461" s="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spans="1:43" ht="15.75" customHeight="1">
      <c r="A462" s="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spans="1:43" ht="15.75" customHeight="1">
      <c r="A463" s="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spans="1:43" ht="15.75" customHeight="1">
      <c r="A464" s="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spans="1:43" ht="15.75" customHeight="1">
      <c r="A465" s="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spans="1:43" ht="15.75" customHeight="1">
      <c r="A466" s="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spans="1:43" ht="15.75" customHeight="1">
      <c r="A467" s="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spans="1:43" ht="15.75" customHeight="1">
      <c r="A468" s="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spans="1:43" ht="15.75" customHeight="1">
      <c r="A469" s="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spans="1:43" ht="15.75" customHeight="1">
      <c r="A470" s="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spans="1:43" ht="15.75" customHeight="1">
      <c r="A471" s="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spans="1:43" ht="15.75" customHeight="1">
      <c r="A472" s="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spans="1:43" ht="15.75" customHeight="1">
      <c r="A473" s="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spans="1:43" ht="15.75" customHeight="1">
      <c r="A474" s="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spans="1:43" ht="15.75" customHeight="1">
      <c r="A475" s="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spans="1:43" ht="15.75" customHeight="1">
      <c r="A476" s="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spans="1:43" ht="15.75" customHeight="1">
      <c r="A477" s="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spans="1:43" ht="15.75" customHeight="1">
      <c r="A478" s="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spans="1:43" ht="15.75" customHeight="1">
      <c r="A479" s="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spans="1:43" ht="15.75" customHeight="1">
      <c r="A480" s="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spans="1:43" ht="15.75" customHeight="1">
      <c r="A481" s="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spans="1:43" ht="15.75" customHeight="1">
      <c r="A482" s="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spans="1:43" ht="15.75" customHeight="1">
      <c r="A483" s="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spans="1:43" ht="15.75" customHeight="1">
      <c r="A484" s="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spans="1:43" ht="15.75" customHeight="1">
      <c r="A485" s="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spans="1:43" ht="15.75" customHeight="1">
      <c r="A486" s="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spans="1:43" ht="15.75" customHeight="1">
      <c r="A487" s="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spans="1:43" ht="15.75" customHeight="1">
      <c r="A488" s="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spans="1:43" ht="15.75" customHeight="1">
      <c r="A489" s="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spans="1:43" ht="15.75" customHeight="1">
      <c r="A490" s="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spans="1:43" ht="15.75" customHeight="1">
      <c r="A491" s="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spans="1:43" ht="15.75" customHeight="1">
      <c r="A492" s="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spans="1:43" ht="15.75" customHeight="1">
      <c r="A493" s="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spans="1:43" ht="15.75" customHeight="1">
      <c r="A494" s="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spans="1:43" ht="15.75" customHeight="1">
      <c r="A495" s="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spans="1:43" ht="15.75" customHeight="1">
      <c r="A496" s="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spans="1:43" ht="15.75" customHeight="1">
      <c r="A497" s="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spans="1:43" ht="15.75" customHeight="1">
      <c r="A498" s="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spans="1:43" ht="15.75" customHeight="1">
      <c r="A499" s="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spans="1:43" ht="15.75" customHeight="1">
      <c r="A500" s="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spans="1:43" ht="15.75" customHeight="1">
      <c r="A501" s="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spans="1:43" ht="15.75" customHeight="1">
      <c r="A502" s="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spans="1:43" ht="15.75" customHeight="1">
      <c r="A503" s="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spans="1:43" ht="15.75" customHeight="1">
      <c r="A504" s="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spans="1:43" ht="15.75" customHeight="1">
      <c r="A505" s="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spans="1:43" ht="15.75" customHeight="1">
      <c r="A506" s="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spans="1:43" ht="15.75" customHeight="1">
      <c r="A507" s="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spans="1:43" ht="15.75" customHeight="1">
      <c r="A508" s="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spans="1:43" ht="15.75" customHeight="1">
      <c r="A509" s="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spans="1:43" ht="15.75" customHeight="1">
      <c r="A510" s="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spans="1:43" ht="15.75" customHeight="1">
      <c r="A511" s="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spans="1:43" ht="15.75" customHeight="1">
      <c r="A512" s="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spans="1:43" ht="15.75" customHeight="1">
      <c r="A513" s="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spans="1:43" ht="15.75" customHeight="1">
      <c r="A514" s="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spans="1:43" ht="15.75" customHeight="1">
      <c r="A515" s="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spans="1:43" ht="15.75" customHeight="1">
      <c r="A516" s="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spans="1:43" ht="15.75" customHeight="1">
      <c r="A517" s="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spans="1:43" ht="15.75" customHeight="1">
      <c r="A518" s="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spans="1:43" ht="15.75" customHeight="1">
      <c r="A519" s="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spans="1:43" ht="15.75" customHeight="1">
      <c r="A520" s="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spans="1:43" ht="15.75" customHeight="1">
      <c r="A521" s="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spans="1:43" ht="15.75" customHeight="1">
      <c r="A522" s="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spans="1:43" ht="15.75" customHeight="1">
      <c r="A523" s="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spans="1:43" ht="15.75" customHeight="1">
      <c r="A524" s="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spans="1:43" ht="15.75" customHeight="1">
      <c r="A525" s="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spans="1:43" ht="15.75" customHeight="1">
      <c r="A526" s="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spans="1:43" ht="15.75" customHeight="1">
      <c r="A527" s="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spans="1:43" ht="15.75" customHeight="1">
      <c r="A528" s="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spans="1:43" ht="15.75" customHeight="1">
      <c r="A529" s="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spans="1:43" ht="15.75" customHeight="1">
      <c r="A530" s="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spans="1:43" ht="15.75" customHeight="1">
      <c r="A531" s="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spans="1:43" ht="15.75" customHeight="1">
      <c r="A532" s="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spans="1:43" ht="15.75" customHeight="1">
      <c r="A533" s="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spans="1:43" ht="15.75" customHeight="1">
      <c r="A534" s="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spans="1:43" ht="15.75" customHeight="1">
      <c r="A535" s="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spans="1:43" ht="15.75" customHeight="1">
      <c r="A536" s="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spans="1:43" ht="15.75" customHeight="1">
      <c r="A537" s="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spans="1:43" ht="15.75" customHeight="1">
      <c r="A538" s="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spans="1:43" ht="15.75" customHeight="1">
      <c r="A539" s="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spans="1:43" ht="15.75" customHeight="1">
      <c r="A540" s="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spans="1:43" ht="15.75" customHeight="1">
      <c r="A541" s="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spans="1:43" ht="15.75" customHeight="1">
      <c r="A542" s="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spans="1:43" ht="15.75" customHeight="1">
      <c r="A543" s="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spans="1:43" ht="15.75" customHeight="1">
      <c r="A544" s="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spans="1:43" ht="15.75" customHeight="1">
      <c r="A545" s="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spans="1:43" ht="15.75" customHeight="1">
      <c r="A546" s="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spans="1:43" ht="15.75" customHeight="1">
      <c r="A547" s="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spans="1:43" ht="15.75" customHeight="1">
      <c r="A548" s="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spans="1:43" ht="15.75" customHeight="1">
      <c r="A549" s="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spans="1:43" ht="15.75" customHeight="1">
      <c r="A550" s="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spans="1:43" ht="15.75" customHeight="1">
      <c r="A551" s="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spans="1:43" ht="15.75" customHeight="1">
      <c r="A552" s="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spans="1:43" ht="15.75" customHeight="1">
      <c r="A553" s="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spans="1:43" ht="15.75" customHeight="1">
      <c r="A554" s="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spans="1:43" ht="15.75" customHeight="1">
      <c r="A555" s="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spans="1:43" ht="15.75" customHeight="1">
      <c r="A556" s="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spans="1:43" ht="15.75" customHeight="1">
      <c r="A557" s="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spans="1:43" ht="15.75" customHeight="1">
      <c r="A558" s="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spans="1:43" ht="15.75" customHeight="1">
      <c r="A559" s="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spans="1:43" ht="15.75" customHeight="1">
      <c r="A560" s="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spans="1:43" ht="15.75" customHeight="1">
      <c r="A561" s="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spans="1:43" ht="15.75" customHeight="1">
      <c r="A562" s="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spans="1:43" ht="15.75" customHeight="1">
      <c r="A563" s="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spans="1:43" ht="15.75" customHeight="1">
      <c r="A564" s="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spans="1:43" ht="15.75" customHeight="1">
      <c r="A565" s="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spans="1:43" ht="15.75" customHeight="1">
      <c r="A566" s="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spans="1:43" ht="15.75" customHeight="1">
      <c r="A567" s="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spans="1:43" ht="15.75" customHeight="1">
      <c r="A568" s="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spans="1:43" ht="15.75" customHeight="1">
      <c r="A569" s="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spans="1:43" ht="15.75" customHeight="1">
      <c r="A570" s="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spans="1:43" ht="15.75" customHeight="1">
      <c r="A571" s="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spans="1:43" ht="15.75" customHeight="1">
      <c r="A572" s="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spans="1:43" ht="15.75" customHeight="1">
      <c r="A573" s="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spans="1:43" ht="15.75" customHeight="1">
      <c r="A574" s="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spans="1:43" ht="15.75" customHeight="1">
      <c r="A575" s="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spans="1:43" ht="15.75" customHeight="1">
      <c r="A576" s="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spans="1:43" ht="15.75" customHeight="1">
      <c r="A577" s="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spans="1:43" ht="15.75" customHeight="1">
      <c r="A578" s="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spans="1:43" ht="15.75" customHeight="1">
      <c r="A579" s="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spans="1:43" ht="15.75" customHeight="1">
      <c r="A580" s="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spans="1:43" ht="15.75" customHeight="1">
      <c r="A581" s="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spans="1:43" ht="15.75" customHeight="1">
      <c r="A582" s="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spans="1:43" ht="15.75" customHeight="1">
      <c r="A583" s="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spans="1:43" ht="15.75" customHeight="1">
      <c r="A584" s="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spans="1:43" ht="15.75" customHeight="1">
      <c r="A585" s="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spans="1:43" ht="15.75" customHeight="1">
      <c r="A586" s="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spans="1:43" ht="15.75" customHeight="1">
      <c r="A587" s="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spans="1:43" ht="15.75" customHeight="1">
      <c r="A588" s="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spans="1:43" ht="15.75" customHeight="1">
      <c r="A589" s="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spans="1:43" ht="15.75" customHeight="1">
      <c r="A590" s="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spans="1:43" ht="15.75" customHeight="1">
      <c r="A591" s="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spans="1:43" ht="15.75" customHeight="1">
      <c r="A592" s="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spans="1:43" ht="15.75" customHeight="1">
      <c r="A593" s="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spans="1:43" ht="15.75" customHeight="1">
      <c r="A594" s="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spans="1:43" ht="15.75" customHeight="1">
      <c r="A595" s="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spans="1:43" ht="15.75" customHeight="1">
      <c r="A596" s="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spans="1:43" ht="15.75" customHeight="1">
      <c r="A597" s="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spans="1:43" ht="15.75" customHeight="1">
      <c r="A598" s="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spans="1:43" ht="15.75" customHeight="1">
      <c r="A599" s="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spans="1:43" ht="15.75" customHeight="1">
      <c r="A600" s="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spans="1:43" ht="15.75" customHeight="1">
      <c r="A601" s="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spans="1:43" ht="15.75" customHeight="1">
      <c r="A602" s="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spans="1:43" ht="15.75" customHeight="1">
      <c r="A603" s="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spans="1:43" ht="15.75" customHeight="1">
      <c r="A604" s="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spans="1:43" ht="15.75" customHeight="1">
      <c r="A605" s="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spans="1:43" ht="15.75" customHeight="1">
      <c r="A606" s="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spans="1:43" ht="15.75" customHeight="1">
      <c r="A607" s="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spans="1:43" ht="15.75" customHeight="1">
      <c r="A608" s="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spans="1:43" ht="15.75" customHeight="1">
      <c r="A609" s="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spans="1:43" ht="15.75" customHeight="1">
      <c r="A610" s="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spans="1:43" ht="15.75" customHeight="1">
      <c r="A611" s="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spans="1:43" ht="15.75" customHeight="1">
      <c r="A612" s="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spans="1:43" ht="15.75" customHeight="1">
      <c r="A613" s="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spans="1:43" ht="15.75" customHeight="1">
      <c r="A614" s="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spans="1:43" ht="15.75" customHeight="1">
      <c r="A615" s="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spans="1:43" ht="15.75" customHeight="1">
      <c r="A616" s="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spans="1:43" ht="15.75" customHeight="1">
      <c r="A617" s="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spans="1:43" ht="15.75" customHeight="1">
      <c r="A618" s="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spans="1:43" ht="15.75" customHeight="1">
      <c r="A619" s="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spans="1:43" ht="15.75" customHeight="1">
      <c r="A620" s="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spans="1:43" ht="15.75" customHeight="1">
      <c r="A621" s="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spans="1:43" ht="15.75" customHeight="1">
      <c r="A622" s="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spans="1:43" ht="15.75" customHeight="1">
      <c r="A623" s="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spans="1:43" ht="15.75" customHeight="1">
      <c r="A624" s="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spans="1:43" ht="15.75" customHeight="1">
      <c r="A625" s="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spans="1:43" ht="15.75" customHeight="1">
      <c r="A626" s="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spans="1:43" ht="15.75" customHeight="1">
      <c r="A627" s="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spans="1:43" ht="15.75" customHeight="1">
      <c r="A628" s="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spans="1:43" ht="15.75" customHeight="1">
      <c r="A629" s="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spans="1:43" ht="15.75" customHeight="1">
      <c r="A630" s="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spans="1:43" ht="15.75" customHeight="1">
      <c r="A631" s="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spans="1:43" ht="15.75" customHeight="1">
      <c r="A632" s="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spans="1:43" ht="15.75" customHeight="1">
      <c r="A633" s="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spans="1:43" ht="15.75" customHeight="1">
      <c r="A634" s="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spans="1:43" ht="15.75" customHeight="1">
      <c r="A635" s="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spans="1:43" ht="15.75" customHeight="1">
      <c r="A636" s="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spans="1:43" ht="15.75" customHeight="1">
      <c r="A637" s="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spans="1:43" ht="15.75" customHeight="1">
      <c r="A638" s="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spans="1:43" ht="15.75" customHeight="1">
      <c r="A639" s="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spans="1:43" ht="15.75" customHeight="1">
      <c r="A640" s="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spans="1:43" ht="15.75" customHeight="1">
      <c r="A641" s="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spans="1:43" ht="15.75" customHeight="1">
      <c r="A642" s="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spans="1:43" ht="15.75" customHeight="1">
      <c r="A643" s="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spans="1:43" ht="15.75" customHeight="1">
      <c r="A644" s="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spans="1:43" ht="15.75" customHeight="1">
      <c r="A645" s="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spans="1:43" ht="15.75" customHeight="1">
      <c r="A646" s="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spans="1:43" ht="15.75" customHeight="1">
      <c r="A647" s="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spans="1:43" ht="15.75" customHeight="1">
      <c r="A648" s="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spans="1:43" ht="15.75" customHeight="1">
      <c r="A649" s="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spans="1:43" ht="15.75" customHeight="1">
      <c r="A650" s="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spans="1:43" ht="15.75" customHeight="1">
      <c r="A651" s="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spans="1:43" ht="15.75" customHeight="1">
      <c r="A652" s="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spans="1:43" ht="15.75" customHeight="1">
      <c r="A653" s="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spans="1:43" ht="15.75" customHeight="1">
      <c r="A654" s="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spans="1:43" ht="15.75" customHeight="1">
      <c r="A655" s="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spans="1:43" ht="15.75" customHeight="1">
      <c r="A656" s="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spans="1:43" ht="15.75" customHeight="1">
      <c r="A657" s="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spans="1:43" ht="15.75" customHeight="1">
      <c r="A658" s="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spans="1:43" ht="15.75" customHeight="1">
      <c r="A659" s="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spans="1:43" ht="15.75" customHeight="1">
      <c r="A660" s="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spans="1:43" ht="15.75" customHeight="1">
      <c r="A661" s="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spans="1:43" ht="15.75" customHeight="1">
      <c r="A662" s="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spans="1:43" ht="15.75" customHeight="1">
      <c r="A663" s="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spans="1:43" ht="15.75" customHeight="1">
      <c r="A664" s="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spans="1:43" ht="15.75" customHeight="1">
      <c r="A665" s="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spans="1:43" ht="15.75" customHeight="1">
      <c r="A666" s="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spans="1:43" ht="15.75" customHeight="1">
      <c r="A667" s="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spans="1:43" ht="15.75" customHeight="1">
      <c r="A668" s="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spans="1:43" ht="15.75" customHeight="1">
      <c r="A669" s="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spans="1:43" ht="15.75" customHeight="1">
      <c r="A670" s="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spans="1:43" ht="15.75" customHeight="1">
      <c r="A671" s="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spans="1:43" ht="15.75" customHeight="1">
      <c r="A672" s="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spans="1:43" ht="15.75" customHeight="1">
      <c r="A673" s="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spans="1:43" ht="15.75" customHeight="1">
      <c r="A674" s="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spans="1:43" ht="15.75" customHeight="1">
      <c r="A675" s="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spans="1:43" ht="15.75" customHeight="1">
      <c r="A676" s="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spans="1:43" ht="15.75" customHeight="1">
      <c r="A677" s="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spans="1:43" ht="15.75" customHeight="1">
      <c r="A678" s="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spans="1:43" ht="15.75" customHeight="1">
      <c r="A679" s="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spans="1:43" ht="15.75" customHeight="1">
      <c r="A680" s="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spans="1:43" ht="15.75" customHeight="1">
      <c r="A681" s="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spans="1:43" ht="15.75" customHeight="1">
      <c r="A682" s="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spans="1:43" ht="15.75" customHeight="1">
      <c r="A683" s="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spans="1:43" ht="15.75" customHeight="1">
      <c r="A684" s="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spans="1:43" ht="15.75" customHeight="1">
      <c r="A685" s="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spans="1:43" ht="15.75" customHeight="1">
      <c r="A686" s="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spans="1:43" ht="15.75" customHeight="1">
      <c r="A687" s="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spans="1:43" ht="15.75" customHeight="1">
      <c r="A688" s="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spans="1:43" ht="15.75" customHeight="1">
      <c r="A689" s="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spans="1:43" ht="15.75" customHeight="1">
      <c r="A690" s="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spans="1:43" ht="15.75" customHeight="1">
      <c r="A691" s="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spans="1:43" ht="15.75" customHeight="1">
      <c r="A692" s="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spans="1:43" ht="15.75" customHeight="1">
      <c r="A693" s="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spans="1:43" ht="15.75" customHeight="1">
      <c r="A694" s="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spans="1:43" ht="15.75" customHeight="1">
      <c r="A695" s="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spans="1:43" ht="15.75" customHeight="1">
      <c r="A696" s="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spans="1:43" ht="15.75" customHeight="1">
      <c r="A697" s="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spans="1:43" ht="15.75" customHeight="1">
      <c r="A698" s="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spans="1:43" ht="15.75" customHeight="1">
      <c r="A699" s="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spans="1:43" ht="15.75" customHeight="1">
      <c r="A700" s="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spans="1:43" ht="15.75" customHeight="1">
      <c r="A701" s="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spans="1:43" ht="15.75" customHeight="1">
      <c r="A702" s="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spans="1:43" ht="15.75" customHeight="1">
      <c r="A703" s="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spans="1:43" ht="15.75" customHeight="1">
      <c r="A704" s="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spans="1:43" ht="15.75" customHeight="1">
      <c r="A705" s="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spans="1:43" ht="15.75" customHeight="1">
      <c r="A706" s="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spans="1:43" ht="15.75" customHeight="1">
      <c r="A707" s="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spans="1:43" ht="15.75" customHeight="1">
      <c r="A708" s="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spans="1:43" ht="15.75" customHeight="1">
      <c r="A709" s="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spans="1:43" ht="15.75" customHeight="1">
      <c r="A710" s="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spans="1:43" ht="15.75" customHeight="1">
      <c r="A711" s="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spans="1:43" ht="15.75" customHeight="1">
      <c r="A712" s="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spans="1:43" ht="15.75" customHeight="1">
      <c r="A713" s="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spans="1:43" ht="15.75" customHeight="1">
      <c r="A714" s="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spans="1:43" ht="15.75" customHeight="1">
      <c r="A715" s="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spans="1:43" ht="15.75" customHeight="1">
      <c r="A716" s="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spans="1:43" ht="15.75" customHeight="1">
      <c r="A717" s="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spans="1:43" ht="15.75" customHeight="1">
      <c r="A718" s="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spans="1:43" ht="15.75" customHeight="1">
      <c r="A719" s="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spans="1:43" ht="15.75" customHeight="1">
      <c r="A720" s="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spans="1:43" ht="15.75" customHeight="1">
      <c r="A721" s="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spans="1:43" ht="15.75" customHeight="1">
      <c r="A722" s="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spans="1:43" ht="15.75" customHeight="1">
      <c r="A723" s="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spans="1:43" ht="15.75" customHeight="1">
      <c r="A724" s="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spans="1:43" ht="15.75" customHeight="1">
      <c r="A725" s="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spans="1:43" ht="15.75" customHeight="1">
      <c r="A726" s="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spans="1:43" ht="15.75" customHeight="1">
      <c r="A727" s="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spans="1:43" ht="15.75" customHeight="1">
      <c r="A728" s="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spans="1:43" ht="15.75" customHeight="1">
      <c r="A729" s="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spans="1:43" ht="15.75" customHeight="1">
      <c r="A730" s="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spans="1:43" ht="15.75" customHeight="1">
      <c r="A731" s="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spans="1:43" ht="15.75" customHeight="1">
      <c r="A732" s="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spans="1:43" ht="15.75" customHeight="1">
      <c r="A733" s="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spans="1:43" ht="15.75" customHeight="1">
      <c r="A734" s="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spans="1:43" ht="15.75" customHeight="1">
      <c r="A735" s="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spans="1:43" ht="15.75" customHeight="1">
      <c r="A736" s="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spans="1:43" ht="15.75" customHeight="1">
      <c r="A737" s="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spans="1:43" ht="15.75" customHeight="1">
      <c r="A738" s="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spans="1:43" ht="15.75" customHeight="1">
      <c r="A739" s="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spans="1:43" ht="15.75" customHeight="1">
      <c r="A740" s="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spans="1:43" ht="15.75" customHeight="1">
      <c r="A741" s="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spans="1:43" ht="15.75" customHeight="1">
      <c r="A742" s="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spans="1:43" ht="15.75" customHeight="1">
      <c r="A743" s="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spans="1:43" ht="15.75" customHeight="1">
      <c r="A744" s="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spans="1:43" ht="15.75" customHeight="1">
      <c r="A745" s="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spans="1:43" ht="15.75" customHeight="1">
      <c r="A746" s="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spans="1:43" ht="15.75" customHeight="1">
      <c r="A747" s="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spans="1:43" ht="15.75" customHeight="1">
      <c r="A748" s="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spans="1:43" ht="15.75" customHeight="1">
      <c r="A749" s="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spans="1:43" ht="15.75" customHeight="1">
      <c r="A750" s="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spans="1:43" ht="15.75" customHeight="1">
      <c r="A751" s="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spans="1:43" ht="15.75" customHeight="1">
      <c r="A752" s="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spans="1:43" ht="15.75" customHeight="1">
      <c r="A753" s="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spans="1:43" ht="15.75" customHeight="1">
      <c r="A754" s="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spans="1:43" ht="15.75" customHeight="1">
      <c r="A755" s="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spans="1:43" ht="15.75" customHeight="1">
      <c r="A756" s="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spans="1:43" ht="15.75" customHeight="1">
      <c r="A757" s="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spans="1:43" ht="15.75" customHeight="1">
      <c r="A758" s="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spans="1:43" ht="15.75" customHeight="1">
      <c r="A759" s="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spans="1:43" ht="15.75" customHeight="1">
      <c r="A760" s="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spans="1:43" ht="15.75" customHeight="1">
      <c r="A761" s="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spans="1:43" ht="15.75" customHeight="1">
      <c r="A762" s="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spans="1:43" ht="15.75" customHeight="1">
      <c r="A763" s="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spans="1:43" ht="15.75" customHeight="1">
      <c r="A764" s="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spans="1:43" ht="15.75" customHeight="1">
      <c r="A765" s="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spans="1:43" ht="15.75" customHeight="1">
      <c r="A766" s="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spans="1:43" ht="15.75" customHeight="1">
      <c r="A767" s="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spans="1:43" ht="15.75" customHeight="1">
      <c r="A768" s="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spans="1:43" ht="15.75" customHeight="1">
      <c r="A769" s="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spans="1:43" ht="15.75" customHeight="1">
      <c r="A770" s="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spans="1:43" ht="15.75" customHeight="1">
      <c r="A771" s="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spans="1:43" ht="15.75" customHeight="1">
      <c r="A772" s="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spans="1:43" ht="15.75" customHeight="1">
      <c r="A773" s="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spans="1:43" ht="15.75" customHeight="1">
      <c r="A774" s="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spans="1:43" ht="15.75" customHeight="1">
      <c r="A775" s="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spans="1:43" ht="15.75" customHeight="1">
      <c r="A776" s="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spans="1:43" ht="15.75" customHeight="1">
      <c r="A777" s="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spans="1:43" ht="15.75" customHeight="1">
      <c r="A778" s="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spans="1:43" ht="15.75" customHeight="1">
      <c r="A779" s="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spans="1:43" ht="15.75" customHeight="1">
      <c r="A780" s="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spans="1:43" ht="15.75" customHeight="1">
      <c r="A781" s="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spans="1:43" ht="15.75" customHeight="1">
      <c r="A782" s="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spans="1:43" ht="15.75" customHeight="1">
      <c r="A783" s="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spans="1:43" ht="15.75" customHeight="1">
      <c r="A784" s="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spans="1:43" ht="15.75" customHeight="1">
      <c r="A785" s="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spans="1:43" ht="15.75" customHeight="1">
      <c r="A786" s="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spans="1:43" ht="15.75" customHeight="1">
      <c r="A787" s="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spans="1:43" ht="15.75" customHeight="1">
      <c r="A788" s="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spans="1:43" ht="15.75" customHeight="1">
      <c r="A789" s="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spans="1:43" ht="15.75" customHeight="1">
      <c r="A790" s="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spans="1:43" ht="15.75" customHeight="1">
      <c r="A791" s="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spans="1:43" ht="15.75" customHeight="1">
      <c r="A792" s="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spans="1:43" ht="15.75" customHeight="1">
      <c r="A793" s="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spans="1:43" ht="15.75" customHeight="1">
      <c r="A794" s="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spans="1:43" ht="15.75" customHeight="1">
      <c r="A795" s="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spans="1:43" ht="15.75" customHeight="1">
      <c r="A796" s="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spans="1:43" ht="15.75" customHeight="1">
      <c r="A797" s="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spans="1:43" ht="15.75" customHeight="1">
      <c r="A798" s="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spans="1:43" ht="15.75" customHeight="1">
      <c r="A799" s="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spans="1:43" ht="15.75" customHeight="1">
      <c r="A800" s="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spans="1:43" ht="15.75" customHeight="1">
      <c r="A801" s="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spans="1:43" ht="15.75" customHeight="1">
      <c r="A802" s="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spans="1:43" ht="15.75" customHeight="1">
      <c r="A803" s="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spans="1:43" ht="15.75" customHeight="1">
      <c r="A804" s="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spans="1:43" ht="15.75" customHeight="1">
      <c r="A805" s="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spans="1:43" ht="15.75" customHeight="1">
      <c r="A806" s="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spans="1:43" ht="15.75" customHeight="1">
      <c r="A807" s="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spans="1:43" ht="15.75" customHeight="1">
      <c r="A808" s="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spans="1:43" ht="15.75" customHeight="1">
      <c r="A809" s="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spans="1:43" ht="15.75" customHeight="1">
      <c r="A810" s="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spans="1:43" ht="15.75" customHeight="1">
      <c r="A811" s="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spans="1:43" ht="15.75" customHeight="1">
      <c r="A812" s="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spans="1:43" ht="15.75" customHeight="1">
      <c r="A813" s="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spans="1:43" ht="15.75" customHeight="1">
      <c r="A814" s="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spans="1:43" ht="15.75" customHeight="1">
      <c r="A815" s="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spans="1:43" ht="15.75" customHeight="1">
      <c r="A816" s="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spans="1:43" ht="15.75" customHeight="1">
      <c r="A817" s="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spans="1:43" ht="15.75" customHeight="1">
      <c r="A818" s="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spans="1:43" ht="15.75" customHeight="1">
      <c r="A819" s="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spans="1:43" ht="15.75" customHeight="1">
      <c r="A820" s="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spans="1:43" ht="15.75" customHeight="1">
      <c r="A821" s="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spans="1:43" ht="15.75" customHeight="1">
      <c r="A822" s="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spans="1:43" ht="15.75" customHeight="1">
      <c r="A823" s="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spans="1:43" ht="15.75" customHeight="1">
      <c r="A824" s="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spans="1:43" ht="15.75" customHeight="1">
      <c r="A825" s="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spans="1:43" ht="15.75" customHeight="1">
      <c r="A826" s="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spans="1:43" ht="15.75" customHeight="1">
      <c r="A827" s="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spans="1:43" ht="15.75" customHeight="1">
      <c r="A828" s="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spans="1:43" ht="15.75" customHeight="1">
      <c r="A829" s="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spans="1:43" ht="15.75" customHeight="1">
      <c r="A830" s="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spans="1:43" ht="15.75" customHeight="1">
      <c r="A831" s="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spans="1:43" ht="15.75" customHeight="1">
      <c r="A832" s="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spans="1:43" ht="15.75" customHeight="1">
      <c r="A833" s="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spans="1:43" ht="15.75" customHeight="1">
      <c r="A834" s="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spans="1:43" ht="15.75" customHeight="1">
      <c r="A835" s="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spans="1:43" ht="15.75" customHeight="1">
      <c r="A836" s="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spans="1:43" ht="15.75" customHeight="1">
      <c r="A837" s="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spans="1:43" ht="15.75" customHeight="1">
      <c r="A838" s="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spans="1:43" ht="15.75" customHeight="1">
      <c r="A839" s="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spans="1:43" ht="15.75" customHeight="1">
      <c r="A840" s="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spans="1:43" ht="15.75" customHeight="1">
      <c r="A841" s="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spans="1:43" ht="15.75" customHeight="1">
      <c r="A842" s="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spans="1:43" ht="15.75" customHeight="1">
      <c r="A843" s="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spans="1:43" ht="15.75" customHeight="1">
      <c r="A844" s="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spans="1:43" ht="15.75" customHeight="1">
      <c r="A845" s="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spans="1:43" ht="15.75" customHeight="1">
      <c r="A846" s="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spans="1:43" ht="15.75" customHeight="1">
      <c r="A847" s="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spans="1:43" ht="15.75" customHeight="1">
      <c r="A848" s="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spans="1:43" ht="15.75" customHeight="1">
      <c r="A849" s="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spans="1:43" ht="15.75" customHeight="1">
      <c r="A850" s="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spans="1:43" ht="15.75" customHeight="1">
      <c r="A851" s="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spans="1:43" ht="15.75" customHeight="1">
      <c r="A852" s="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spans="1:43" ht="15.75" customHeight="1">
      <c r="A853" s="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spans="1:43" ht="15.75" customHeight="1">
      <c r="A854" s="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spans="1:43" ht="15.75" customHeight="1">
      <c r="A855" s="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spans="1:43" ht="15.75" customHeight="1">
      <c r="A856" s="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spans="1:43" ht="15.75" customHeight="1">
      <c r="A857" s="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spans="1:43" ht="15.75" customHeight="1">
      <c r="A858" s="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spans="1:43" ht="15.75" customHeight="1">
      <c r="A859" s="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spans="1:43" ht="15.75" customHeight="1">
      <c r="A860" s="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spans="1:43" ht="15.75" customHeight="1">
      <c r="A861" s="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spans="1:43" ht="15.75" customHeight="1">
      <c r="A862" s="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spans="1:43" ht="15.75" customHeight="1">
      <c r="A863" s="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spans="1:43" ht="15.75" customHeight="1">
      <c r="A864" s="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spans="1:43" ht="15.75" customHeight="1">
      <c r="A865" s="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spans="1:43" ht="15.75" customHeight="1">
      <c r="A866" s="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spans="1:43" ht="15.75" customHeight="1">
      <c r="A867" s="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spans="1:43" ht="15.75" customHeight="1">
      <c r="A868" s="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spans="1:43" ht="15.75" customHeight="1">
      <c r="A869" s="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spans="1:43" ht="15.75" customHeight="1">
      <c r="A870" s="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spans="1:43" ht="15.75" customHeight="1">
      <c r="A871" s="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spans="1:43" ht="15.75" customHeight="1">
      <c r="A872" s="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spans="1:43" ht="15.75" customHeight="1">
      <c r="A873" s="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spans="1:43" ht="15.75" customHeight="1">
      <c r="A874" s="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spans="1:43" ht="15.75" customHeight="1">
      <c r="A875" s="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spans="1:43" ht="15.75" customHeight="1">
      <c r="A876" s="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spans="1:43" ht="15.75" customHeight="1">
      <c r="A877" s="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spans="1:43" ht="15.75" customHeight="1">
      <c r="A878" s="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spans="1:43" ht="15.75" customHeight="1">
      <c r="A879" s="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spans="1:43" ht="15.75" customHeight="1">
      <c r="A880" s="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spans="1:43" ht="15.75" customHeight="1">
      <c r="A881" s="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spans="1:43" ht="15.75" customHeight="1">
      <c r="A882" s="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spans="1:43" ht="15.75" customHeight="1">
      <c r="A883" s="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spans="1:43" ht="15.75" customHeight="1">
      <c r="A884" s="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spans="1:43" ht="15.75" customHeight="1">
      <c r="A885" s="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spans="1:43" ht="15.75" customHeight="1">
      <c r="A886" s="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spans="1:43" ht="15.75" customHeight="1">
      <c r="A887" s="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spans="1:43" ht="15.75" customHeight="1">
      <c r="A888" s="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spans="1:43" ht="15.75" customHeight="1">
      <c r="A889" s="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spans="1:43" ht="15.75" customHeight="1">
      <c r="A890" s="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spans="1:43" ht="15.75" customHeight="1">
      <c r="A891" s="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spans="1:43" ht="15.75" customHeight="1">
      <c r="A892" s="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spans="1:43" ht="15.75" customHeight="1">
      <c r="A893" s="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spans="1:43" ht="15.75" customHeight="1">
      <c r="A894" s="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spans="1:43" ht="15.75" customHeight="1">
      <c r="A895" s="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spans="1:43" ht="15.75" customHeight="1">
      <c r="A896" s="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spans="1:43" ht="15.75" customHeight="1">
      <c r="A897" s="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spans="1:43" ht="15.75" customHeight="1">
      <c r="A898" s="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spans="1:43" ht="15.75" customHeight="1">
      <c r="A899" s="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spans="1:43" ht="15.75" customHeight="1">
      <c r="A900" s="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spans="1:43" ht="15.75" customHeight="1">
      <c r="A901" s="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spans="1:43" ht="15.75" customHeight="1">
      <c r="A902" s="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spans="1:43" ht="15.75" customHeight="1">
      <c r="A903" s="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spans="1:43" ht="15.75" customHeight="1">
      <c r="A904" s="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spans="1:43" ht="15.75" customHeight="1">
      <c r="A905" s="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spans="1:43" ht="15.75" customHeight="1">
      <c r="A906" s="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spans="1:43" ht="15.75" customHeight="1">
      <c r="A907" s="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spans="1:43" ht="15.75" customHeight="1">
      <c r="A908" s="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spans="1:43" ht="15.75" customHeight="1">
      <c r="A909" s="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spans="1:43" ht="15.75" customHeight="1">
      <c r="A910" s="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spans="1:43" ht="15.75" customHeight="1">
      <c r="A911" s="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spans="1:43" ht="15.75" customHeight="1">
      <c r="A912" s="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spans="1:43" ht="15.75" customHeight="1">
      <c r="A913" s="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spans="1:43" ht="15.75" customHeight="1">
      <c r="A914" s="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spans="1:43" ht="15.75" customHeight="1">
      <c r="A915" s="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spans="1:43" ht="15.75" customHeight="1">
      <c r="A916" s="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spans="1:43" ht="15.75" customHeight="1">
      <c r="A917" s="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spans="1:43" ht="15.75" customHeight="1">
      <c r="A918" s="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spans="1:43" ht="15.75" customHeight="1">
      <c r="A919" s="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spans="1:43" ht="15.75" customHeight="1">
      <c r="A920" s="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spans="1:43" ht="15.75" customHeight="1">
      <c r="A921" s="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spans="1:43" ht="15.75" customHeight="1">
      <c r="A922" s="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spans="1:43" ht="15.75" customHeight="1">
      <c r="A923" s="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spans="1:43" ht="15.75" customHeight="1">
      <c r="A924" s="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spans="1:43" ht="15.75" customHeight="1">
      <c r="A925" s="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spans="1:43" ht="15.75" customHeight="1">
      <c r="A926" s="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spans="1:43" ht="15.75" customHeight="1">
      <c r="A927" s="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spans="1:43" ht="15.75" customHeight="1">
      <c r="A928" s="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spans="1:43" ht="15.75" customHeight="1">
      <c r="A929" s="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spans="1:43" ht="15.75" customHeight="1">
      <c r="A930" s="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spans="1:43" ht="15.75" customHeight="1">
      <c r="A931" s="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spans="1:43" ht="15.75" customHeight="1">
      <c r="A932" s="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spans="1:43" ht="15.75" customHeight="1">
      <c r="A933" s="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spans="1:43" ht="15.75" customHeight="1">
      <c r="A934" s="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spans="1:43" ht="15.75" customHeight="1">
      <c r="A935" s="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spans="1:43" ht="15.75" customHeight="1">
      <c r="A936" s="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spans="1:43" ht="15.75" customHeight="1">
      <c r="A937" s="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spans="1:43" ht="15.75" customHeight="1">
      <c r="A938" s="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spans="1:43" ht="15.75" customHeight="1">
      <c r="A939" s="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spans="1:43" ht="15.75" customHeight="1">
      <c r="A940" s="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spans="1:43" ht="15.75" customHeight="1">
      <c r="A941" s="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spans="1:43" ht="15.75" customHeight="1">
      <c r="A942" s="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spans="1:43" ht="15.75" customHeight="1">
      <c r="A943" s="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spans="1:43" ht="15.75" customHeight="1">
      <c r="A944" s="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spans="1:43" ht="15.75" customHeight="1">
      <c r="A945" s="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spans="1:43" ht="15.75" customHeight="1">
      <c r="A946" s="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spans="1:43" ht="15.75" customHeight="1">
      <c r="A947" s="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spans="1:43" ht="15.75" customHeight="1">
      <c r="A948" s="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spans="1:43" ht="15.75" customHeight="1">
      <c r="A949" s="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spans="1:43" ht="15.75" customHeight="1">
      <c r="A950" s="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spans="1:43" ht="15.75" customHeight="1">
      <c r="A951" s="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spans="1:43" ht="15.75" customHeight="1">
      <c r="A952" s="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spans="1:43" ht="15.75" customHeight="1">
      <c r="A953" s="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spans="1:43" ht="15.75" customHeight="1">
      <c r="A954" s="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spans="1:43" ht="15.75" customHeight="1">
      <c r="A955" s="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spans="1:43" ht="15.75" customHeight="1">
      <c r="A956" s="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spans="1:43" ht="15.75" customHeight="1">
      <c r="A957" s="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spans="1:43" ht="15.75" customHeight="1">
      <c r="A958" s="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spans="1:43" ht="15.75" customHeight="1">
      <c r="A959" s="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spans="1:43" ht="15.75" customHeight="1">
      <c r="A960" s="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spans="1:43" ht="15.75" customHeight="1">
      <c r="A961" s="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spans="1:43" ht="15.75" customHeight="1">
      <c r="A962" s="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spans="1:43" ht="15.75" customHeight="1">
      <c r="A963" s="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spans="1:43" ht="15.75" customHeight="1">
      <c r="A964" s="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spans="1:43" ht="15.75" customHeight="1">
      <c r="A965" s="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spans="1:43" ht="15.75" customHeight="1">
      <c r="A966" s="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spans="1:43" ht="15.75" customHeight="1">
      <c r="A967" s="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spans="1:43" ht="15.75" customHeight="1">
      <c r="A968" s="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spans="1:43" ht="15.75" customHeight="1">
      <c r="A969" s="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spans="1:43" ht="15.75" customHeight="1">
      <c r="A970" s="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spans="1:43" ht="15.75" customHeight="1">
      <c r="A971" s="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spans="1:43" ht="15.75" customHeight="1">
      <c r="A972" s="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spans="1:43" ht="15.75" customHeight="1">
      <c r="A973" s="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spans="1:43" ht="15.75" customHeight="1">
      <c r="A974" s="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spans="1:43" ht="15.75" customHeight="1">
      <c r="A975" s="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spans="1:43" ht="15.75" customHeight="1">
      <c r="A976" s="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spans="1:43" ht="15.75" customHeight="1">
      <c r="A977" s="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spans="1:43" ht="15.75" customHeight="1">
      <c r="A978" s="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spans="1:43" ht="15.75" customHeight="1">
      <c r="A979" s="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spans="1:43" ht="15.75" customHeight="1">
      <c r="A980" s="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spans="1:43" ht="15.75" customHeight="1">
      <c r="A981" s="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spans="1:43" ht="15.75" customHeight="1">
      <c r="A982" s="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spans="1:43" ht="15.75" customHeight="1">
      <c r="A983" s="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spans="1:43" ht="15.75" customHeight="1">
      <c r="A984" s="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spans="1:43" ht="15.75" customHeight="1">
      <c r="A985" s="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spans="1:43" ht="15.75" customHeight="1">
      <c r="A986" s="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spans="1:43" ht="15.75" customHeight="1">
      <c r="A987" s="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spans="1:43" ht="15.75" customHeight="1">
      <c r="A988" s="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spans="1:43" ht="15.75" customHeight="1">
      <c r="A989" s="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spans="1:43" ht="15.75" customHeight="1">
      <c r="A990" s="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</sheetData>
  <mergeCells count="29">
    <mergeCell ref="B1:T1"/>
    <mergeCell ref="B2:T2"/>
    <mergeCell ref="B3:T3"/>
    <mergeCell ref="B4:T4"/>
    <mergeCell ref="B5:S5"/>
    <mergeCell ref="C9:F9"/>
    <mergeCell ref="G9:J9"/>
    <mergeCell ref="K9:N9"/>
    <mergeCell ref="O9:S9"/>
    <mergeCell ref="A51:T51"/>
    <mergeCell ref="A9:A10"/>
    <mergeCell ref="T9:T10"/>
    <mergeCell ref="A53:G53"/>
    <mergeCell ref="H53:T53"/>
    <mergeCell ref="A56:G56"/>
    <mergeCell ref="H56:T56"/>
    <mergeCell ref="H57:S57"/>
    <mergeCell ref="A54:G55"/>
    <mergeCell ref="H54:T55"/>
    <mergeCell ref="A58:B58"/>
    <mergeCell ref="C58:D58"/>
    <mergeCell ref="E58:H58"/>
    <mergeCell ref="I58:Q58"/>
    <mergeCell ref="R58:T58"/>
    <mergeCell ref="A59:B59"/>
    <mergeCell ref="C59:D59"/>
    <mergeCell ref="E59:H59"/>
    <mergeCell ref="I59:Q59"/>
    <mergeCell ref="R59:T59"/>
  </mergeCells>
  <printOptions horizontalCentered="1"/>
  <pageMargins left="0.196850393700787" right="0.196850393700787" top="0.196850393700787" bottom="0.196850393700787" header="0" footer="0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prelim</vt:lpstr>
      <vt:lpstr>midterm</vt:lpstr>
      <vt:lpstr>semi-final</vt:lpstr>
      <vt:lpstr>finals</vt:lpstr>
      <vt:lpstr>Grade Sheet</vt:lpstr>
      <vt:lpstr>'Grade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office20721</cp:lastModifiedBy>
  <cp:lastPrinted>2026-03-24T05:36:38Z</cp:lastPrinted>
  <dcterms:created xsi:type="dcterms:W3CDTF">2016-06-21T02:05:00Z</dcterms:created>
  <dcterms:modified xsi:type="dcterms:W3CDTF">2026-06-15T01:54:19Z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ACE70F2EA1E8418089D240CBEDADC059_12</vt:lpwstr>
  </property>
  <property fmtid="{D5CDD505-2E9C-101B-9397-08002B2CF9AE}" pid="3" name="KSOProductBuildVer">
    <vt:lpwstr>1033-12.2.0.19805</vt:lpwstr>
  </property>
</Properties>
</file>